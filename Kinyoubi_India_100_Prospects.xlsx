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3e08a0b2034b8e" /></Relationships>
</file>

<file path=xl/workbook.xml><?xml version="1.0" encoding="utf-8"?>
<x:workbook xmlns:x="http://schemas.openxmlformats.org/spreadsheetml/2006/main">
  <x:sheets>
    <x:sheet xmlns:r="http://schemas.openxmlformats.org/officeDocument/2006/relationships" name="Start here" sheetId="1" r:id="Rc63fb95e60894b2a"/>
    <x:sheet xmlns:r="http://schemas.openxmlformats.org/officeDocument/2006/relationships" name="Prospects" sheetId="2" r:id="Ra2716251e97a44b3"/>
    <x:sheet xmlns:r="http://schemas.openxmlformats.org/officeDocument/2006/relationships" name="Research" sheetId="3" r:id="Raee3df9fbb894804"/>
    <x:sheet xmlns:r="http://schemas.openxmlformats.org/officeDocument/2006/relationships" name="Email drafts" sheetId="4" r:id="R22ca3b52655d4147"/>
    <x:sheet xmlns:r="http://schemas.openxmlformats.org/officeDocument/2006/relationships" name="Sources" sheetId="5" r:id="Rdaa6680d00864a4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sz val="10"/>
      <x:color rgb="FF302626"/>
      <x:name val="Arial"/>
    </x:font>
    <x:font>
      <x:b/>
      <x:sz val="20"/>
      <x:color rgb="FF672D32"/>
      <x:name val="Arial"/>
    </x:font>
    <x:font>
      <x:sz val="10"/>
      <x:color rgb="FF75645F"/>
      <x:name val="Arial"/>
    </x:font>
    <x:font>
      <x:b/>
      <x:sz val="10"/>
      <x:color rgb="FFFFFFFF"/>
      <x:name val="Arial"/>
    </x:font>
    <x:font>
      <x:b/>
      <x:sz val="10"/>
      <x:color rgb="FF302626"/>
      <x:name val="Arial"/>
    </x:font>
    <x:font>
      <x:b/>
      <x:sz val="11"/>
      <x:color rgb="FFFFFFFF"/>
      <x:name val="Arial"/>
    </x:font>
    <x:font>
      <x:sz val="11"/>
      <x:color rgb="FF302626"/>
      <x:name val="Arial"/>
    </x:font>
    <x:font>
      <x:b/>
      <x:sz val="18"/>
      <x:color rgb="FF672D32"/>
      <x:name val="Arial"/>
    </x:font>
    <x:font>
      <x:sz val="10"/>
      <x:color rgb="FFFFFFFF"/>
      <x:name val="Arial"/>
    </x:font>
  </x:fonts>
  <x:fills count="5">
    <x:fill>
      <x:patternFill patternType="none"/>
    </x:fill>
    <x:fill>
      <x:patternFill patternType="gray125"/>
    </x:fill>
    <x:fill>
      <x:patternFill patternType="solid">
        <x:fgColor rgb="FF672D32"/>
      </x:patternFill>
    </x:fill>
    <x:fill>
      <x:patternFill patternType="solid">
        <x:fgColor rgb="FFFAF7F1"/>
      </x:patternFill>
    </x:fill>
    <x:fill>
      <x:patternFill patternType="solid">
        <x:fgColor rgb="FFF5EEDC"/>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9"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b08657abee403b" /><Relationship Type="http://schemas.openxmlformats.org/officeDocument/2006/relationships/theme" Target="/xl/theme/theme1.xml" Id="Raf73a637e6eb434a" /><Relationship Type="http://schemas.openxmlformats.org/officeDocument/2006/relationships/sharedStrings" Target="/xl/sharedStrings.xml" Id="R4195a88ac74343ad" /><Relationship Type="http://schemas.openxmlformats.org/officeDocument/2006/relationships/worksheet" Target="/xl/worksheets/sheet1.xml" Id="Rc63fb95e60894b2a" /><Relationship Type="http://schemas.openxmlformats.org/officeDocument/2006/relationships/worksheet" Target="/xl/worksheets/sheet2.xml" Id="Ra2716251e97a44b3" /><Relationship Type="http://schemas.openxmlformats.org/officeDocument/2006/relationships/worksheet" Target="/xl/worksheets/sheet3.xml" Id="Raee3df9fbb894804" /><Relationship Type="http://schemas.openxmlformats.org/officeDocument/2006/relationships/worksheet" Target="/xl/worksheets/sheet4.xml" Id="R22ca3b52655d4147" /><Relationship Type="http://schemas.openxmlformats.org/officeDocument/2006/relationships/worksheet" Target="/xl/worksheets/sheet5.xml" Id="Rdaa6680d00864a40" /></Relationships>
</file>

<file path=xl/tables/table1.xml><?xml version="1.0" encoding="utf-8"?>
<x:table xmlns:x="http://schemas.openxmlformats.org/spreadsheetml/2006/main" id="1" name="ProspectList" displayName="ProspectList" ref="A5:Q105" headerRowCount="1" totalsRowCount="0" totalsRowShown="0">
  <x:autoFilter ref="A5:Q105"/>
  <x:tableColumns count="17">
    <x:tableColumn id="1" name="Rank"/>
    <x:tableColumn id="2" name="Lead ID"/>
    <x:tableColumn id="3" name="Company"/>
    <x:tableColumn id="4" name="Decision-maker"/>
    <x:tableColumn id="5" name="Current role"/>
    <x:tableColumn id="6" name="Score /100"/>
    <x:tableColumn id="7" name="Contact route"/>
    <x:tableColumn id="8" name="Queue status"/>
    <x:tableColumn id="9" name="Role source URL"/>
    <x:tableColumn id="10" name="Official website"/>
    <x:tableColumn id="11" name="State / region"/>
    <x:tableColumn id="12" name="Segment"/>
    <x:tableColumn id="13" name="Service fit"/>
    <x:tableColumn id="14" name="Business signal"/>
    <x:tableColumn id="15" name="Proof fit"/>
    <x:tableColumn id="16" name="Buyer role"/>
    <x:tableColumn id="17" name="Contact route score"/>
  </x:tableColumns>
  <x:tableStyleInfo name="TableStyleMedium2" showFirstColumn="0" showLastColumn="0" showRowStripes="1" showColumnStripes="0"/>
</x:table>
</file>

<file path=xl/tables/table2.xml><?xml version="1.0" encoding="utf-8"?>
<x:table xmlns:x="http://schemas.openxmlformats.org/spreadsheetml/2006/main" id="2" name="ResearchDetails" displayName="ResearchDetails" ref="A5:K105" headerRowCount="1" totalsRowCount="0" totalsRowShown="0">
  <x:autoFilter ref="A5:K105"/>
  <x:tableColumns count="11">
    <x:tableColumn id="1" name="Lead ID"/>
    <x:tableColumn id="2" name="Company"/>
    <x:tableColumn id="3" name="Observed facts"/>
    <x:tableColumn id="4" name="Need hypothesis"/>
    <x:tableColumn id="5" name="Published business email"/>
    <x:tableColumn id="6" name="Route"/>
    <x:tableColumn id="7" name="Contact evidence / form"/>
    <x:tableColumn id="8" name="Next action"/>
    <x:tableColumn id="9" name="Unknowns"/>
    <x:tableColumn id="10" name="Company evidence"/>
    <x:tableColumn id="11" name="Score rationale"/>
  </x:tableColumns>
  <x:tableStyleInfo name="TableStyleMedium2" showFirstColumn="0" showLastColumn="0" showRowStripes="1" showColumnStripes="0"/>
</x:table>
</file>

<file path=xl/tables/table3.xml><?xml version="1.0" encoding="utf-8"?>
<x:table xmlns:x="http://schemas.openxmlformats.org/spreadsheetml/2006/main" id="3" name="EvidenceRegister" displayName="EvidenceRegister" ref="A5:G126" headerRowCount="1" totalsRowCount="0" totalsRowShown="0">
  <x:autoFilter ref="A5:G126"/>
  <x:tableColumns count="7">
    <x:tableColumn id="1" name="Source ID"/>
    <x:tableColumn id="2" name="Title"/>
    <x:tableColumn id="3" name="URL"/>
    <x:tableColumn id="4" name="Checked on"/>
    <x:tableColumn id="5" name="Published on"/>
    <x:tableColumn id="6" name="Supports"/>
    <x:tableColumn id="7" name="Evidence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f0a3d3a0ec41bd" /></Relationships>
</file>

<file path=xl/worksheets/_rels/sheet3.xml.rels>&#65279;<?xml version="1.0" encoding="utf-8"?><Relationships xmlns="http://schemas.openxmlformats.org/package/2006/relationships"><Relationship Type="http://schemas.openxmlformats.org/officeDocument/2006/relationships/table" Target="/xl/tables/table2.xml" Id="R4f04553923b24c6d" /></Relationships>
</file>

<file path=xl/worksheets/_rels/sheet5.xml.rels>&#65279;<?xml version="1.0" encoding="utf-8"?><Relationships xmlns="http://schemas.openxmlformats.org/package/2006/relationships"><Relationship Type="http://schemas.openxmlformats.org/officeDocument/2006/relationships/table" Target="/xl/tables/table3.xml" Id="Rdaeb14b71a884015" /></Relationships>
</file>

<file path=xl/worksheets/sheet1.xml><?xml version="1.0" encoding="utf-8"?>
<x:worksheet xmlns:x="http://schemas.openxmlformats.org/spreadsheetml/2006/main">
  <x:sheetPr>
    <x:tabColor rgb="FF672D32"/>
  </x:sheetPr>
  <x:sheetViews>
    <x:sheetView showGridLines="0" workbookViewId="0"/>
  </x:sheetViews>
  <x:sheetFormatPr defaultRowHeight="15"/>
  <x:cols>
    <x:col min="1" max="1" width="27.219999313354492" hidden="0" customWidth="1"/>
    <x:col min="2" max="2" width="86.66999816894531" hidden="0" customWidth="1"/>
  </x:cols>
  <x:sheetData>
    <x:row r="1" ht="24" customHeight="1">
      <x:c r="A1" s="3"/>
      <x:c r="B1" s="3"/>
    </x:row>
    <x:row r="2" ht="34" customHeight="1">
      <x:c r="A2" s="4" t="str">
        <x:v>Kinyoubi | India outreach review</x:v>
      </x:c>
      <x:c r="B2" s="3"/>
    </x:row>
    <x:row r="3" ht="30" customHeight="1">
      <x:c r="A3" s="5" t="str">
        <x:v>Software, data integration and AI services • Prepared 3 October 2026 • First campaign: financial-services operations</x:v>
      </x:c>
      <x:c r="B3" s="3"/>
    </x:row>
    <x:row r="4" ht="24" customHeight="1">
      <x:c r="A4" s="3"/>
      <x:c r="B4" s="3"/>
    </x:row>
    <x:row r="5" ht="32" customHeight="1">
      <x:c r="A5" s="13" t="str">
        <x:v>Research prospects</x:v>
      </x:c>
      <x:c r="B5" s="16" t="n">
        <x:f>COUNTA(Prospects!$B$6:$B$105)</x:f>
        <x:v>100</x:v>
      </x:c>
    </x:row>
    <x:row r="6" ht="32" customHeight="1">
      <x:c r="A6" s="13" t="str">
        <x:v>Named executives</x:v>
      </x:c>
      <x:c r="B6" s="16" t="n">
        <x:f>COUNTA(Prospects!$D$6:$D$105)</x:f>
        <x:v>100</x:v>
      </x:c>
    </x:row>
    <x:row r="7" ht="32" customHeight="1">
      <x:c r="A7" s="13" t="str">
        <x:v>Personalised drafts</x:v>
      </x:c>
      <x:c r="B7" s="16" t="n">
        <x:f>COUNTIF(Prospects!$H$6:$H$105,"Draft for review")</x:f>
        <x:v>5</x:v>
      </x:c>
    </x:row>
    <x:row r="8" ht="32" customHeight="1">
      <x:c r="A8" s="13" t="str">
        <x:v>Named business email routes</x:v>
      </x:c>
      <x:c r="B8" s="16" t="n">
        <x:f>COUNTIF(Prospects!$G$6:$G$105,"named")</x:f>
        <x:v>5</x:v>
      </x:c>
    </x:row>
    <x:row r="9" ht="32" customHeight="1">
      <x:c r="A9" s="13" t="str">
        <x:v>Generic routes / contact forms</x:v>
      </x:c>
      <x:c r="B9" s="16" t="n">
        <x:f>COUNTIF(Prospects!$G$6:$G$105,"generic")</x:f>
        <x:v>44</x:v>
      </x:c>
    </x:row>
    <x:row r="10" ht="32" customHeight="1">
      <x:c r="A10" s="13" t="str">
        <x:v>Contact route still required</x:v>
      </x:c>
      <x:c r="B10" s="16" t="n">
        <x:f>COUNTIF(Prospects!$G$6:$G$105,"unknown")</x:f>
        <x:v>51</x:v>
      </x:c>
    </x:row>
    <x:row r="11" ht="50" customHeight="1">
      <x:c r="A11" s="13" t="str">
        <x:v>Campaign choice</x:v>
      </x:c>
      <x:c r="B11" s="3" t="str">
        <x:v>Indian lenders, microfinance organisations and financial inclusion providers. This segment connects to Kinyoubi’s financial-institution MIS foundation case study.</x:v>
      </x:c>
    </x:row>
    <x:row r="12" ht="50" customHeight="1">
      <x:c r="A12" s="13" t="str">
        <x:v>Proposed services</x:v>
      </x:c>
      <x:c r="B12" s="3" t="str">
        <x:v>A scoped reporting, reconciliation or document-intake workflow around the client’s existing systems. AI extraction is proposed with staff review.</x:v>
      </x:c>
    </x:row>
    <x:row r="13" ht="50" customHeight="1">
      <x:c r="A13" s="13" t="str">
        <x:v>Proof maturity</x:v>
      </x:c>
      <x:c r="B13" s="3" t="str">
        <x:v>Kinyoubi reports delivery of the data and infrastructure foundation for an anonymised financial-institution MIS. Production rollout and quantified business outcomes are not established.</x:v>
      </x:c>
    </x:row>
    <x:row r="14" ht="50" customHeight="1">
      <x:c r="A14" s="13" t="str">
        <x:v>How to review</x:v>
      </x:c>
      <x:c r="B14" s="3" t="str">
        <x:v>Start with the five emails. Use Prospects for ranking and named executives; Research for facts, hypotheses and contact provenance; Sources for the evidence register.</x:v>
      </x:c>
    </x:row>
    <x:row r="15" ht="50" customHeight="1">
      <x:c r="A15" s="13" t="str">
        <x:v>What the score means</x:v>
      </x:c>
      <x:c r="B15" s="3" t="str">
        <x:v>A research-priority score, not sales probability. All budgets, timing, procurement interest and purchasing authority remain unknown.</x:v>
      </x:c>
    </x:row>
    <x:row r="16" ht="50" customHeight="1">
      <x:c r="A16" s="13" t="str">
        <x:v>Source standard</x:v>
      </x:c>
      <x:c r="B16" s="3" t="str">
        <x:v>Company pages and current industry leadership listings support the named executives as of the check date. Roles can change; reconfirm before outreach.</x:v>
      </x:c>
    </x:row>
    <x:row r="17" ht="50" customHeight="1">
      <x:c r="A17" s="13" t="str">
        <x:v>Contact standard</x:v>
      </x:c>
      <x:c r="B17" s="3" t="str">
        <x:v>No email pattern was guessed. Named emails are published business contacts; generic routes require routing. Publication does not establish deliverability or consent.</x:v>
      </x:c>
    </x:row>
    <x:row r="18" ht="50" customHeight="1">
      <x:c r="A18" s="13" t="str">
        <x:v>Prior outreach</x:v>
      </x:c>
      <x:c r="B18" s="3" t="str">
        <x:v>No prior campaign or suppression record was found in the available saved records. Mailbox history was not searched. Match against your records before any sending.</x:v>
      </x:c>
    </x:row>
    <x:row r="19" ht="50" customHeight="1">
      <x:c r="A19" s="13" t="str">
        <x:v>Research gaps</x:v>
      </x:c>
      <x:c r="B19" s="3" t="str">
        <x:v>23 official website URLs and some state/contracting-entity details remain unconfirmed. Supporting organisation and executive sources are linked for every lead.</x:v>
      </x:c>
    </x:row>
    <x:row r="20" ht="50" customHeight="1">
      <x:c r="A20" s="13" t="str">
        <x:v>Excluded candidates</x:v>
      </x:c>
      <x:c r="B20" s="3" t="str">
        <x:v>30 initial candidates with uncertain or conflicting leadership evidence were replaced. The campaign JSON preserves their exclusion reasons.</x:v>
      </x:c>
    </x:row>
    <x:row r="21" ht="50" customHeight="1">
      <x:c r="A21" s="13" t="str">
        <x:v>Enterprise prospects</x:v>
      </x:c>
      <x:c r="B21" s="3" t="str">
        <x:v>Larger banks and NBFCs may require vendor onboarding and a departmental sponsor. Their inclusion does not establish access to procurement.</x:v>
      </x:c>
    </x:row>
    <x:row r="22" ht="50" customHeight="1">
      <x:c r="A22" s="13" t="str">
        <x:v>Sending status</x:v>
      </x:c>
      <x:c r="B22" s="3" t="str">
        <x:v>Nothing sent or scheduled. Wording approval alone does not authorise sending.</x:v>
      </x:c>
    </x:row>
    <x:row r="23" ht="50" customHeight="1">
      <x:c r="A23" s="7" t="str">
        <x:v>Scoring factor</x:v>
      </x:c>
      <x:c r="B23" s="19" t="str">
        <x:v>Allowed anchor values and interpretation</x:v>
      </x:c>
    </x:row>
    <x:row r="24" ht="50" customHeight="1">
      <x:c r="A24" s="13" t="str">
        <x:v>Service fit (30 max)</x:v>
      </x:c>
      <x:c r="B24" s="3" t="str">
        <x:v>0 unsupported • 15 broad domain match • 30 specific sourced operating-context match</x:v>
      </x:c>
    </x:row>
    <x:row r="25" ht="50" customHeight="1">
      <x:c r="A25" s="13" t="str">
        <x:v>Business signal (25 max)</x:v>
      </x:c>
      <x:c r="B25" s="3" t="str">
        <x:v>0 no signal • 10 indirect operational signal • 25 explicit relevant procurement need. No prospect is scored for buying intent in this run.</x:v>
      </x:c>
    </x:row>
    <x:row r="26" ht="50" customHeight="1">
      <x:c r="A26" s="13" t="str">
        <x:v>Proof fit (20 max)</x:v>
      </x:c>
      <x:c r="B26" s="3" t="str">
        <x:v>0 none • 10 adjacent example • 20 closely relevant example, preserving delivered-foundation maturity</x:v>
      </x:c>
    </x:row>
    <x:row r="27" ht="50" customHeight="1">
      <x:c r="A27" s="13" t="str">
        <x:v>Buyer role (15 max)</x:v>
      </x:c>
      <x:c r="B27" s="3" t="str">
        <x:v>0 unknown/conflicted • 8 plausible role • 15 relevant named executive supported by current evidence</x:v>
      </x:c>
    </x:row>
    <x:row r="28" ht="50" customHeight="1">
      <x:c r="A28" s="13" t="str">
        <x:v>Contact route (10 max)</x:v>
      </x:c>
      <x:c r="B28" s="3" t="str">
        <x:v>0 unknown • 5 official generic route/form • 10 sourced named business email</x:v>
      </x:c>
    </x:row>
    <x:row r="29" ht="50" customHeight="1">
      <x:c r="A29" s="13" t="str">
        <x:v>Kinyoubi proof source</x:v>
      </x:c>
      <x:c r="B29" s="3" t="str">
        <x:v>https://kinyoubiatelier.com/work/bfsi-mis/</x:v>
      </x:c>
    </x:row>
    <x:row r="30" ht="24" customHeight="1">
      <x:c r="A30" s="3"/>
      <x:c r="B30" s="3"/>
    </x:row>
    <x:row r="31" ht="24" customHeight="1">
      <x:c r="A31" s="3"/>
      <x:c r="B31" s="3"/>
    </x:row>
    <x:row r="32" ht="24" customHeight="1">
      <x:c r="A32" s="3"/>
      <x:c r="B32" s="3"/>
    </x:row>
    <x:row r="33" ht="24" customHeight="1">
      <x:c r="A33" s="3"/>
      <x:c r="B33" s="3"/>
    </x:row>
    <x:row r="34" ht="24" customHeight="1">
      <x:c r="A34" s="3"/>
      <x:c r="B34" s="3"/>
    </x:row>
    <x:row r="35" ht="24" customHeight="1">
      <x:c r="A35" s="3"/>
      <x:c r="B35" s="3"/>
    </x:row>
    <x:row r="36" ht="24" customHeight="1">
      <x:c r="A36" s="3"/>
      <x:c r="B36" s="3"/>
    </x:row>
    <x:row r="37" ht="24" customHeight="1">
      <x:c r="A37" s="3"/>
      <x:c r="B37" s="3"/>
    </x:row>
    <x:row r="38" ht="24" customHeight="1">
      <x:c r="A38" s="3"/>
      <x:c r="B38" s="3"/>
    </x:row>
    <x:row r="39" ht="24" customHeight="1">
      <x:c r="A39" s="3"/>
      <x:c r="B39" s="3"/>
    </x:row>
    <x:row r="40" ht="24" customHeight="1">
      <x:c r="A40" s="3"/>
      <x:c r="B40" s="3"/>
    </x:row>
  </x:sheetData>
  <x:mergeCells>
    <x:mergeCell ref="A2:B2"/>
    <x:mergeCell ref="A3:B3"/>
  </x:mergeCells>
  <x:pageMargins left="0.7" right="0.7" top="0.75" bottom="0.75" header="0.3" footer="0.3"/>
</x:worksheet>
</file>

<file path=xl/worksheets/sheet2.xml><?xml version="1.0" encoding="utf-8"?>
<x:worksheet xmlns:x="http://schemas.openxmlformats.org/spreadsheetml/2006/main">
  <x:sheetPr>
    <x:tabColor rgb="FF672D32"/>
  </x:sheetPr>
  <x:sheetViews>
    <x:sheetView showGridLines="0" workbookViewId="0">
      <x:pane xSplit="3" ySplit="5" topLeftCell="D6" activePane="bottomRight" state="frozen"/>
    </x:sheetView>
  </x:sheetViews>
  <x:sheetFormatPr defaultRowHeight="15"/>
  <x:cols>
    <x:col min="1" max="1" width="5.329999923706055" hidden="0" customWidth="1"/>
    <x:col min="2" max="2" width="7.559999942779541" hidden="0" customWidth="1"/>
    <x:col min="3" max="3" width="29.440000534057617" hidden="0" customWidth="1"/>
    <x:col min="4" max="4" width="20" hidden="0" customWidth="1"/>
    <x:col min="5" max="5" width="27.219999313354492" hidden="0" customWidth="1"/>
    <x:col min="6" max="6" width="8" hidden="0" customWidth="1"/>
    <x:col min="7" max="7" width="11.109999656677246" hidden="0" customWidth="1"/>
    <x:col min="8" max="8" width="13.890000343322754" hidden="0" customWidth="1"/>
    <x:col min="9" max="9" width="38.88999938964844" hidden="0" customWidth="1"/>
    <x:col min="10" max="10" width="27.219999313354492" hidden="0" customWidth="1"/>
    <x:col min="11" max="11" width="13.890000343322754" hidden="0" customWidth="1"/>
    <x:col min="12" max="12" width="21.110000610351562" hidden="0" customWidth="1"/>
    <x:col min="13" max="13" width="8.670000076293945" hidden="0" customWidth="1"/>
    <x:col min="14" max="14" width="9.329999923706055" hidden="0" customWidth="1"/>
    <x:col min="15" max="15" width="8.670000076293945" hidden="0" customWidth="1"/>
    <x:col min="16" max="16" width="8.670000076293945" hidden="0" customWidth="1"/>
    <x:col min="17" max="17" width="11.109999656677246" hidden="0" customWidth="1"/>
  </x:cols>
  <x:sheetData>
    <x:row r="1" ht="24" customHeight="1">
      <x:c r="A1" s="3"/>
      <x:c r="B1" s="3"/>
      <x:c r="C1" s="3"/>
      <x:c r="D1" s="3"/>
      <x:c r="E1" s="3"/>
      <x:c r="F1" s="3"/>
      <x:c r="G1" s="3"/>
      <x:c r="H1" s="3"/>
      <x:c r="I1" s="3"/>
      <x:c r="J1" s="3"/>
      <x:c r="K1" s="3"/>
      <x:c r="L1" s="3"/>
      <x:c r="M1" s="3"/>
      <x:c r="N1" s="3"/>
      <x:c r="O1" s="3"/>
      <x:c r="P1" s="3"/>
      <x:c r="Q1" s="3"/>
    </x:row>
    <x:row r="2" ht="34" customHeight="1">
      <x:c r="A2" s="4" t="str">
        <x:v>Kinyoubi | 100 India prospects</x:v>
      </x:c>
      <x:c r="B2" s="3"/>
      <x:c r="C2" s="3"/>
      <x:c r="D2" s="3"/>
      <x:c r="E2" s="3"/>
      <x:c r="F2" s="3"/>
      <x:c r="G2" s="3"/>
      <x:c r="H2" s="3"/>
      <x:c r="I2" s="3"/>
      <x:c r="J2" s="3"/>
      <x:c r="K2" s="3"/>
      <x:c r="L2" s="3"/>
      <x:c r="M2" s="3"/>
      <x:c r="N2" s="3"/>
      <x:c r="O2" s="3"/>
      <x:c r="P2" s="3"/>
      <x:c r="Q2" s="3"/>
    </x:row>
    <x:row r="3" ht="30" customHeight="1">
      <x:c r="A3" s="5" t="str">
        <x:v>Research priority • Source checks: 3 October 2026 • All buying intent and budgets unconfirmed</x:v>
      </x:c>
      <x:c r="B3" s="3"/>
      <x:c r="C3" s="3"/>
      <x:c r="D3" s="3"/>
      <x:c r="E3" s="3"/>
      <x:c r="F3" s="3"/>
      <x:c r="G3" s="3"/>
      <x:c r="H3" s="3"/>
      <x:c r="I3" s="3"/>
      <x:c r="J3" s="3"/>
      <x:c r="K3" s="3"/>
      <x:c r="L3" s="3"/>
      <x:c r="M3" s="3"/>
      <x:c r="N3" s="3"/>
      <x:c r="O3" s="3"/>
      <x:c r="P3" s="3"/>
      <x:c r="Q3" s="3"/>
    </x:row>
    <x:row r="4" ht="24" customHeight="1">
      <x:c r="A4" s="3"/>
      <x:c r="B4" s="3"/>
      <x:c r="C4" s="3"/>
      <x:c r="D4" s="3"/>
      <x:c r="E4" s="3"/>
      <x:c r="F4" s="3"/>
      <x:c r="G4" s="3"/>
      <x:c r="H4" s="3"/>
      <x:c r="I4" s="3"/>
      <x:c r="J4" s="3"/>
      <x:c r="K4" s="3"/>
      <x:c r="L4" s="3"/>
      <x:c r="M4" s="3"/>
      <x:c r="N4" s="3"/>
      <x:c r="O4" s="3"/>
      <x:c r="P4" s="3"/>
      <x:c r="Q4" s="3"/>
    </x:row>
    <x:row r="5" ht="34" customHeight="1">
      <x:c r="A5" s="7" t="str">
        <x:v>Rank</x:v>
      </x:c>
      <x:c r="B5" s="7" t="str">
        <x:v>Lead ID</x:v>
      </x:c>
      <x:c r="C5" s="7" t="str">
        <x:v>Company</x:v>
      </x:c>
      <x:c r="D5" s="7" t="str">
        <x:v>Decision-maker</x:v>
      </x:c>
      <x:c r="E5" s="7" t="str">
        <x:v>Current role</x:v>
      </x:c>
      <x:c r="F5" s="7" t="str">
        <x:v>Score /100</x:v>
      </x:c>
      <x:c r="G5" s="7" t="str">
        <x:v>Contact route</x:v>
      </x:c>
      <x:c r="H5" s="7" t="str">
        <x:v>Queue status</x:v>
      </x:c>
      <x:c r="I5" s="7" t="str">
        <x:v>Role source URL</x:v>
      </x:c>
      <x:c r="J5" s="7" t="str">
        <x:v>Official website</x:v>
      </x:c>
      <x:c r="K5" s="7" t="str">
        <x:v>State / region</x:v>
      </x:c>
      <x:c r="L5" s="7" t="str">
        <x:v>Segment</x:v>
      </x:c>
      <x:c r="M5" s="7" t="str">
        <x:v>Service fit</x:v>
      </x:c>
      <x:c r="N5" s="7" t="str">
        <x:v>Business signal</x:v>
      </x:c>
      <x:c r="O5" s="7" t="str">
        <x:v>Proof fit</x:v>
      </x:c>
      <x:c r="P5" s="7" t="str">
        <x:v>Buyer role</x:v>
      </x:c>
      <x:c r="Q5" s="7" t="str">
        <x:v>Contact route score</x:v>
      </x:c>
    </x:row>
    <x:row r="6" ht="44" customHeight="1">
      <x:c r="A6" s="11" t="n">
        <x:v>1</x:v>
      </x:c>
      <x:c r="B6" s="11" t="str">
        <x:v>L001</x:v>
      </x:c>
      <x:c r="C6" s="13" t="str">
        <x:v>GU Financial Services (P) Ltd.</x:v>
      </x:c>
      <x:c r="D6" s="13" t="str">
        <x:v>Govind Chandra Dash</x:v>
      </x:c>
      <x:c r="E6" s="13" t="str">
        <x:v>Chairman &amp; Managing Director</x:v>
      </x:c>
      <x:c r="F6" s="12" t="n">
        <x:f>SUM(M6:Q6)</x:f>
        <x:v>75</x:v>
      </x:c>
      <x:c r="G6" s="11" t="str">
        <x:v>named</x:v>
      </x:c>
      <x:c r="H6" s="11" t="str">
        <x:v>Draft for review</x:v>
      </x:c>
      <x:c r="I6" s="11" t="str">
        <x:v>https://gufinance.com/index.php/page?name=board-of-directors</x:v>
      </x:c>
      <x:c r="J6" s="11" t="str">
        <x:v>https://www.gufinance.com</x:v>
      </x:c>
      <x:c r="K6" s="11" t="str">
        <x:v>Odisha</x:v>
      </x:c>
      <x:c r="L6" s="11" t="str">
        <x:v>Indian lending and microfinance operations</x:v>
      </x:c>
      <x:c r="M6" s="11" t="n">
        <x:v>30</x:v>
      </x:c>
      <x:c r="N6" s="11" t="n">
        <x:v>0</x:v>
      </x:c>
      <x:c r="O6" s="11" t="n">
        <x:v>20</x:v>
      </x:c>
      <x:c r="P6" s="11" t="n">
        <x:v>15</x:v>
      </x:c>
      <x:c r="Q6" s="11" t="n">
        <x:v>10</x:v>
      </x:c>
    </x:row>
    <x:row r="7" ht="44" customHeight="1">
      <x:c r="A7" s="11" t="n">
        <x:v>2</x:v>
      </x:c>
      <x:c r="B7" s="11" t="str">
        <x:v>L002</x:v>
      </x:c>
      <x:c r="C7" s="13" t="str">
        <x:v>Mitrata Inclusive Financial Services Ltd.</x:v>
      </x:c>
      <x:c r="D7" s="13" t="str">
        <x:v>Prabhakar Rawat</x:v>
      </x:c>
      <x:c r="E7" s="13" t="str">
        <x:v>Chief Operating Officer</x:v>
      </x:c>
      <x:c r="F7" s="12" t="n">
        <x:f>SUM(M7:Q7)</x:f>
        <x:v>75</x:v>
      </x:c>
      <x:c r="G7" s="11" t="str">
        <x:v>named</x:v>
      </x:c>
      <x:c r="H7" s="11" t="str">
        <x:v>Draft for review</x:v>
      </x:c>
      <x:c r="I7" s="11" t="str">
        <x:v>https://mitrata.in/aboutus/management-team/</x:v>
      </x:c>
      <x:c r="J7" s="11" t="str">
        <x:v>https://mitrata.in</x:v>
      </x:c>
      <x:c r="K7" s="11" t="str">
        <x:v>Haryana</x:v>
      </x:c>
      <x:c r="L7" s="11" t="str">
        <x:v>Indian lending and microfinance operations</x:v>
      </x:c>
      <x:c r="M7" s="11" t="n">
        <x:v>30</x:v>
      </x:c>
      <x:c r="N7" s="11" t="n">
        <x:v>0</x:v>
      </x:c>
      <x:c r="O7" s="11" t="n">
        <x:v>20</x:v>
      </x:c>
      <x:c r="P7" s="11" t="n">
        <x:v>15</x:v>
      </x:c>
      <x:c r="Q7" s="11" t="n">
        <x:v>10</x:v>
      </x:c>
    </x:row>
    <x:row r="8" ht="44" customHeight="1">
      <x:c r="A8" s="11" t="n">
        <x:v>3</x:v>
      </x:c>
      <x:c r="B8" s="11" t="str">
        <x:v>L003</x:v>
      </x:c>
      <x:c r="C8" s="13" t="str">
        <x:v>Samvedna Microfinance Private Limited</x:v>
      </x:c>
      <x:c r="D8" s="13" t="str">
        <x:v>Trilok Nath Shukla</x:v>
      </x:c>
      <x:c r="E8" s="13" t="str">
        <x:v>Managing Director &amp; CEO</x:v>
      </x:c>
      <x:c r="F8" s="12" t="n">
        <x:f>SUM(M8:Q8)</x:f>
        <x:v>75</x:v>
      </x:c>
      <x:c r="G8" s="11" t="str">
        <x:v>named</x:v>
      </x:c>
      <x:c r="H8" s="11" t="str">
        <x:v>Draft for review</x:v>
      </x:c>
      <x:c r="I8" s="11" t="str">
        <x:v>https://samvednamfi.com/</x:v>
      </x:c>
      <x:c r="J8" s="11" t="str">
        <x:v>https://samvednamfi.com</x:v>
      </x:c>
      <x:c r="K8" s="11" t="str">
        <x:v>Uttar Pradesh</x:v>
      </x:c>
      <x:c r="L8" s="11" t="str">
        <x:v>Indian lending and microfinance operations</x:v>
      </x:c>
      <x:c r="M8" s="11" t="n">
        <x:v>30</x:v>
      </x:c>
      <x:c r="N8" s="11" t="n">
        <x:v>0</x:v>
      </x:c>
      <x:c r="O8" s="11" t="n">
        <x:v>20</x:v>
      </x:c>
      <x:c r="P8" s="11" t="n">
        <x:v>15</x:v>
      </x:c>
      <x:c r="Q8" s="11" t="n">
        <x:v>10</x:v>
      </x:c>
    </x:row>
    <x:row r="9" ht="44" customHeight="1">
      <x:c r="A9" s="11" t="n">
        <x:v>4</x:v>
      </x:c>
      <x:c r="B9" s="11" t="str">
        <x:v>L004</x:v>
      </x:c>
      <x:c r="C9" s="13" t="str">
        <x:v>IDF Financial Services Private Ltd.</x:v>
      </x:c>
      <x:c r="D9" s="13" t="str">
        <x:v>N. M. Patil</x:v>
      </x:c>
      <x:c r="E9" s="13" t="str">
        <x:v>Managing Director</x:v>
      </x:c>
      <x:c r="F9" s="12" t="n">
        <x:f>SUM(M9:Q9)</x:f>
        <x:v>75</x:v>
      </x:c>
      <x:c r="G9" s="11" t="str">
        <x:v>named</x:v>
      </x:c>
      <x:c r="H9" s="11" t="str">
        <x:v>Draft for review</x:v>
      </x:c>
      <x:c r="I9" s="11" t="str">
        <x:v>https://www.idf-finance.in/bod.php</x:v>
      </x:c>
      <x:c r="J9" s="11" t="str">
        <x:v>https://www.idf-finance.in</x:v>
      </x:c>
      <x:c r="K9" s="11" t="str">
        <x:v>Karnataka</x:v>
      </x:c>
      <x:c r="L9" s="11" t="str">
        <x:v>Indian lending and microfinance operations</x:v>
      </x:c>
      <x:c r="M9" s="11" t="n">
        <x:v>30</x:v>
      </x:c>
      <x:c r="N9" s="11" t="n">
        <x:v>0</x:v>
      </x:c>
      <x:c r="O9" s="11" t="n">
        <x:v>20</x:v>
      </x:c>
      <x:c r="P9" s="11" t="n">
        <x:v>15</x:v>
      </x:c>
      <x:c r="Q9" s="11" t="n">
        <x:v>10</x:v>
      </x:c>
    </x:row>
    <x:row r="10" ht="44" customHeight="1">
      <x:c r="A10" s="11" t="n">
        <x:v>5</x:v>
      </x:c>
      <x:c r="B10" s="11" t="str">
        <x:v>L005</x:v>
      </x:c>
      <x:c r="C10" s="13" t="str">
        <x:v>Srifin Credit Private Limited</x:v>
      </x:c>
      <x:c r="D10" s="13" t="str">
        <x:v>Vivek Dave</x:v>
      </x:c>
      <x:c r="E10" s="13" t="str">
        <x:v>Managing Director &amp; CEO</x:v>
      </x:c>
      <x:c r="F10" s="12" t="n">
        <x:f>SUM(M10:Q10)</x:f>
        <x:v>75</x:v>
      </x:c>
      <x:c r="G10" s="11" t="str">
        <x:v>named</x:v>
      </x:c>
      <x:c r="H10" s="11" t="str">
        <x:v>Draft for review</x:v>
      </x:c>
      <x:c r="I10" s="11" t="str">
        <x:v>https://www.srifincredit.com/management-team.html</x:v>
      </x:c>
      <x:c r="J10" s="11" t="str">
        <x:v>https://www.srifincredit.com</x:v>
      </x:c>
      <x:c r="K10" s="11" t="str">
        <x:v>Telangana</x:v>
      </x:c>
      <x:c r="L10" s="11" t="str">
        <x:v>Indian lending and microfinance operations</x:v>
      </x:c>
      <x:c r="M10" s="11" t="n">
        <x:v>30</x:v>
      </x:c>
      <x:c r="N10" s="11" t="n">
        <x:v>0</x:v>
      </x:c>
      <x:c r="O10" s="11" t="n">
        <x:v>20</x:v>
      </x:c>
      <x:c r="P10" s="11" t="n">
        <x:v>15</x:v>
      </x:c>
      <x:c r="Q10" s="11" t="n">
        <x:v>10</x:v>
      </x:c>
    </x:row>
    <x:row r="11" ht="44" customHeight="1">
      <x:c r="A11" s="3" t="n">
        <x:v>6</x:v>
      </x:c>
      <x:c r="B11" s="3" t="str">
        <x:v>L006</x:v>
      </x:c>
      <x:c r="C11" s="3" t="str">
        <x:v>Aasra Fincorp Private limited</x:v>
      </x:c>
      <x:c r="D11" s="3" t="str">
        <x:v>Ashok Kumar Singh</x:v>
      </x:c>
      <x:c r="E11" s="3" t="str">
        <x:v>Managing Director</x:v>
      </x:c>
      <x:c r="F11" s="10" t="n">
        <x:f>SUM(M11:Q11)</x:f>
        <x:v>55</x:v>
      </x:c>
      <x:c r="G11" s="3" t="str">
        <x:v>generic</x:v>
      </x:c>
      <x:c r="H11" s="3" t="str">
        <x:v>Research only</x:v>
      </x:c>
      <x:c r="I11" s="3" t="str">
        <x:v>https://www.aasrafincorp.com/board-members</x:v>
      </x:c>
      <x:c r="J11" s="3" t="str">
        <x:v>https://www.aasrafincorp.com</x:v>
      </x:c>
      <x:c r="K11" s="3" t="str">
        <x:v>Uttar Pradesh</x:v>
      </x:c>
      <x:c r="L11" s="3" t="str">
        <x:v>Indian lending and microfinance operations</x:v>
      </x:c>
      <x:c r="M11" s="3" t="n">
        <x:v>15</x:v>
      </x:c>
      <x:c r="N11" s="3" t="n">
        <x:v>0</x:v>
      </x:c>
      <x:c r="O11" s="3" t="n">
        <x:v>20</x:v>
      </x:c>
      <x:c r="P11" s="3" t="n">
        <x:v>15</x:v>
      </x:c>
      <x:c r="Q11" s="3" t="n">
        <x:v>5</x:v>
      </x:c>
    </x:row>
    <x:row r="12" ht="44" customHeight="1">
      <x:c r="A12" s="8" t="n">
        <x:v>7</x:v>
      </x:c>
      <x:c r="B12" s="8" t="str">
        <x:v>L007</x:v>
      </x:c>
      <x:c r="C12" s="8" t="str">
        <x:v>Adi Chitragupta Finance Limited</x:v>
      </x:c>
      <x:c r="D12" s="8" t="str">
        <x:v>Gyan Mohan</x:v>
      </x:c>
      <x:c r="E12" s="8" t="str">
        <x:v>Director &amp; CEO</x:v>
      </x:c>
      <x:c r="F12" s="9" t="n">
        <x:f>SUM(M12:Q12)</x:f>
        <x:v>55</x:v>
      </x:c>
      <x:c r="G12" s="8" t="str">
        <x:v>generic</x:v>
      </x:c>
      <x:c r="H12" s="8" t="str">
        <x:v>Research only</x:v>
      </x:c>
      <x:c r="I12" s="8" t="str">
        <x:v>https://acfl.co.in/about/team/</x:v>
      </x:c>
      <x:c r="J12" s="8" t="str">
        <x:v>https://acfl.co.in</x:v>
      </x:c>
      <x:c r="K12" s="8" t="str">
        <x:v>Bihar</x:v>
      </x:c>
      <x:c r="L12" s="8" t="str">
        <x:v>Indian lending and microfinance operations</x:v>
      </x:c>
      <x:c r="M12" s="8" t="n">
        <x:v>15</x:v>
      </x:c>
      <x:c r="N12" s="8" t="n">
        <x:v>0</x:v>
      </x:c>
      <x:c r="O12" s="8" t="n">
        <x:v>20</x:v>
      </x:c>
      <x:c r="P12" s="8" t="n">
        <x:v>15</x:v>
      </x:c>
      <x:c r="Q12" s="8" t="n">
        <x:v>5</x:v>
      </x:c>
    </x:row>
    <x:row r="13" ht="44" customHeight="1">
      <x:c r="A13" s="3" t="n">
        <x:v>8</x:v>
      </x:c>
      <x:c r="B13" s="3" t="str">
        <x:v>L008</x:v>
      </x:c>
      <x:c r="C13" s="3" t="str">
        <x:v>AGORA Microfinance India Limited</x:v>
      </x:c>
      <x:c r="D13" s="3" t="str">
        <x:v>Manoj Naval</x:v>
      </x:c>
      <x:c r="E13" s="3" t="str">
        <x:v>CEO</x:v>
      </x:c>
      <x:c r="F13" s="10" t="n">
        <x:f>SUM(M13:Q13)</x:f>
        <x:v>55</x:v>
      </x:c>
      <x:c r="G13" s="3" t="str">
        <x:v>generic</x:v>
      </x:c>
      <x:c r="H13" s="3" t="str">
        <x:v>Research only</x:v>
      </x:c>
      <x:c r="I13" s="3" t="str">
        <x:v>https://www.amil.co.in/senior-management</x:v>
      </x:c>
      <x:c r="J13" s="3" t="str">
        <x:v>https://www.amil.co.in</x:v>
      </x:c>
      <x:c r="K13" s="3" t="str">
        <x:v>Maharashtra</x:v>
      </x:c>
      <x:c r="L13" s="3" t="str">
        <x:v>Indian lending and microfinance operations</x:v>
      </x:c>
      <x:c r="M13" s="3" t="n">
        <x:v>15</x:v>
      </x:c>
      <x:c r="N13" s="3" t="n">
        <x:v>0</x:v>
      </x:c>
      <x:c r="O13" s="3" t="n">
        <x:v>20</x:v>
      </x:c>
      <x:c r="P13" s="3" t="n">
        <x:v>15</x:v>
      </x:c>
      <x:c r="Q13" s="3" t="n">
        <x:v>5</x:v>
      </x:c>
    </x:row>
    <x:row r="14" ht="44" customHeight="1">
      <x:c r="A14" s="8" t="n">
        <x:v>9</x:v>
      </x:c>
      <x:c r="B14" s="8" t="str">
        <x:v>L009</x:v>
      </x:c>
      <x:c r="C14" s="8" t="str">
        <x:v>Avanti Finance Private Limited</x:v>
      </x:c>
      <x:c r="D14" s="8" t="str">
        <x:v>Rahul Gupta</x:v>
      </x:c>
      <x:c r="E14" s="8" t="str">
        <x:v>Executive Director &amp; CEO</x:v>
      </x:c>
      <x:c r="F14" s="9" t="n">
        <x:f>SUM(M14:Q14)</x:f>
        <x:v>55</x:v>
      </x:c>
      <x:c r="G14" s="8" t="str">
        <x:v>generic</x:v>
      </x:c>
      <x:c r="H14" s="8" t="str">
        <x:v>Research only</x:v>
      </x:c>
      <x:c r="I14" s="8" t="str">
        <x:v>https://www.avantifinance.in/team/</x:v>
      </x:c>
      <x:c r="J14" s="8" t="str">
        <x:v>https://www.avantifinance.in</x:v>
      </x:c>
      <x:c r="K14" s="8" t="str">
        <x:v>Karnataka</x:v>
      </x:c>
      <x:c r="L14" s="8" t="str">
        <x:v>Indian lending and microfinance operations</x:v>
      </x:c>
      <x:c r="M14" s="8" t="n">
        <x:v>15</x:v>
      </x:c>
      <x:c r="N14" s="8" t="n">
        <x:v>0</x:v>
      </x:c>
      <x:c r="O14" s="8" t="n">
        <x:v>20</x:v>
      </x:c>
      <x:c r="P14" s="8" t="n">
        <x:v>15</x:v>
      </x:c>
      <x:c r="Q14" s="8" t="n">
        <x:v>5</x:v>
      </x:c>
    </x:row>
    <x:row r="15" ht="44" customHeight="1">
      <x:c r="A15" s="3" t="n">
        <x:v>10</x:v>
      </x:c>
      <x:c r="B15" s="3" t="str">
        <x:v>L010</x:v>
      </x:c>
      <x:c r="C15" s="3" t="str">
        <x:v>Aviral Finance Pvt Ltd</x:v>
      </x:c>
      <x:c r="D15" s="3" t="str">
        <x:v>Vishal Shah</x:v>
      </x:c>
      <x:c r="E15" s="3" t="str">
        <x:v>Co-founder &amp; COO</x:v>
      </x:c>
      <x:c r="F15" s="10" t="n">
        <x:f>SUM(M15:Q15)</x:f>
        <x:v>55</x:v>
      </x:c>
      <x:c r="G15" s="3" t="str">
        <x:v>generic</x:v>
      </x:c>
      <x:c r="H15" s="3" t="str">
        <x:v>Research only</x:v>
      </x:c>
      <x:c r="I15" s="3" t="str">
        <x:v>https://aviralfinance.com/our-team/</x:v>
      </x:c>
      <x:c r="J15" s="3" t="str">
        <x:v>https://aviralfinance.com</x:v>
      </x:c>
      <x:c r="K15" s="3" t="str">
        <x:v>Chhattisgarh</x:v>
      </x:c>
      <x:c r="L15" s="3" t="str">
        <x:v>Indian lending and microfinance operations</x:v>
      </x:c>
      <x:c r="M15" s="3" t="n">
        <x:v>15</x:v>
      </x:c>
      <x:c r="N15" s="3" t="n">
        <x:v>0</x:v>
      </x:c>
      <x:c r="O15" s="3" t="n">
        <x:v>20</x:v>
      </x:c>
      <x:c r="P15" s="3" t="n">
        <x:v>15</x:v>
      </x:c>
      <x:c r="Q15" s="3" t="n">
        <x:v>5</x:v>
      </x:c>
    </x:row>
    <x:row r="16" ht="44" customHeight="1">
      <x:c r="A16" s="8" t="n">
        <x:v>11</x:v>
      </x:c>
      <x:c r="B16" s="8" t="str">
        <x:v>L011</x:v>
      </x:c>
      <x:c r="C16" s="8" t="str">
        <x:v>Digamber Capfin Ltd</x:v>
      </x:c>
      <x:c r="D16" s="8" t="str">
        <x:v>Rajiv Jain</x:v>
      </x:c>
      <x:c r="E16" s="8" t="str">
        <x:v>Chairman &amp; Managing Director</x:v>
      </x:c>
      <x:c r="F16" s="9" t="n">
        <x:f>SUM(M16:Q16)</x:f>
        <x:v>55</x:v>
      </x:c>
      <x:c r="G16" s="8" t="str">
        <x:v>generic</x:v>
      </x:c>
      <x:c r="H16" s="8" t="str">
        <x:v>Research only</x:v>
      </x:c>
      <x:c r="I16" s="8" t="str">
        <x:v>https://www.digamberfinance.com/</x:v>
      </x:c>
      <x:c r="J16" s="8" t="str">
        <x:v>https://www.digamberfinance.com</x:v>
      </x:c>
      <x:c r="K16" s="8" t="str">
        <x:v>Rajasthan</x:v>
      </x:c>
      <x:c r="L16" s="8" t="str">
        <x:v>Indian lending and microfinance operations</x:v>
      </x:c>
      <x:c r="M16" s="8" t="n">
        <x:v>15</x:v>
      </x:c>
      <x:c r="N16" s="8" t="n">
        <x:v>0</x:v>
      </x:c>
      <x:c r="O16" s="8" t="n">
        <x:v>20</x:v>
      </x:c>
      <x:c r="P16" s="8" t="n">
        <x:v>15</x:v>
      </x:c>
      <x:c r="Q16" s="8" t="n">
        <x:v>5</x:v>
      </x:c>
    </x:row>
    <x:row r="17" ht="44" customHeight="1">
      <x:c r="A17" s="3" t="n">
        <x:v>12</x:v>
      </x:c>
      <x:c r="B17" s="3" t="str">
        <x:v>L012</x:v>
      </x:c>
      <x:c r="C17" s="3" t="str">
        <x:v>Dvara Kshetriya Gramin Financial Services Private Limited</x:v>
      </x:c>
      <x:c r="D17" s="3" t="str">
        <x:v>L. V. L. N. Murty</x:v>
      </x:c>
      <x:c r="E17" s="3" t="str">
        <x:v>Managing Director &amp; CEO</x:v>
      </x:c>
      <x:c r="F17" s="10" t="n">
        <x:f>SUM(M17:Q17)</x:f>
        <x:v>55</x:v>
      </x:c>
      <x:c r="G17" s="3" t="str">
        <x:v>generic</x:v>
      </x:c>
      <x:c r="H17" s="3" t="str">
        <x:v>Research only</x:v>
      </x:c>
      <x:c r="I17" s="3" t="str">
        <x:v>https://nationalconference2026.sa-dhan.net/</x:v>
      </x:c>
      <x:c r="J17" s="3" t="str">
        <x:v>https://www.dvarakgfs.com</x:v>
      </x:c>
      <x:c r="K17" s="3" t="str">
        <x:v>Tamil Nadu</x:v>
      </x:c>
      <x:c r="L17" s="3" t="str">
        <x:v>Indian lending and microfinance operations</x:v>
      </x:c>
      <x:c r="M17" s="3" t="n">
        <x:v>15</x:v>
      </x:c>
      <x:c r="N17" s="3" t="n">
        <x:v>0</x:v>
      </x:c>
      <x:c r="O17" s="3" t="n">
        <x:v>20</x:v>
      </x:c>
      <x:c r="P17" s="3" t="n">
        <x:v>15</x:v>
      </x:c>
      <x:c r="Q17" s="3" t="n">
        <x:v>5</x:v>
      </x:c>
    </x:row>
    <x:row r="18" ht="44" customHeight="1">
      <x:c r="A18" s="8" t="n">
        <x:v>13</x:v>
      </x:c>
      <x:c r="B18" s="8" t="str">
        <x:v>L013</x:v>
      </x:c>
      <x:c r="C18" s="8" t="str">
        <x:v>Finsigma Inclusive Services Private Limited</x:v>
      </x:c>
      <x:c r="D18" s="8" t="str">
        <x:v>Anooj VC</x:v>
      </x:c>
      <x:c r="E18" s="8" t="str">
        <x:v>Co-founder &amp; COO</x:v>
      </x:c>
      <x:c r="F18" s="9" t="n">
        <x:f>SUM(M18:Q18)</x:f>
        <x:v>55</x:v>
      </x:c>
      <x:c r="G18" s="8" t="str">
        <x:v>generic</x:v>
      </x:c>
      <x:c r="H18" s="8" t="str">
        <x:v>Research only</x:v>
      </x:c>
      <x:c r="I18" s="8" t="str">
        <x:v>https://www.finsigma.com/directors.html</x:v>
      </x:c>
      <x:c r="J18" s="8" t="str">
        <x:v>https://www.finsigma.com</x:v>
      </x:c>
      <x:c r="K18" s="8" t="str">
        <x:v>Tamil Nadu</x:v>
      </x:c>
      <x:c r="L18" s="8" t="str">
        <x:v>Indian lending and microfinance operations</x:v>
      </x:c>
      <x:c r="M18" s="8" t="n">
        <x:v>15</x:v>
      </x:c>
      <x:c r="N18" s="8" t="n">
        <x:v>0</x:v>
      </x:c>
      <x:c r="O18" s="8" t="n">
        <x:v>20</x:v>
      </x:c>
      <x:c r="P18" s="8" t="n">
        <x:v>15</x:v>
      </x:c>
      <x:c r="Q18" s="8" t="n">
        <x:v>5</x:v>
      </x:c>
    </x:row>
    <x:row r="19" ht="44" customHeight="1">
      <x:c r="A19" s="3" t="n">
        <x:v>14</x:v>
      </x:c>
      <x:c r="B19" s="3" t="str">
        <x:v>L014</x:v>
      </x:c>
      <x:c r="C19" s="3" t="str">
        <x:v>Friends Capital Services Limited</x:v>
      </x:c>
      <x:c r="D19" s="3" t="str">
        <x:v>Sanjeev Kumar Singh</x:v>
      </x:c>
      <x:c r="E19" s="3" t="str">
        <x:v>Managing Director</x:v>
      </x:c>
      <x:c r="F19" s="10" t="n">
        <x:f>SUM(M19:Q19)</x:f>
        <x:v>55</x:v>
      </x:c>
      <x:c r="G19" s="3" t="str">
        <x:v>generic</x:v>
      </x:c>
      <x:c r="H19" s="3" t="str">
        <x:v>Research only</x:v>
      </x:c>
      <x:c r="I19" s="3" t="str">
        <x:v>https://friendscapital.in/board-of-directors/</x:v>
      </x:c>
      <x:c r="J19" s="3" t="str">
        <x:v>https://friendscapital.in</x:v>
      </x:c>
      <x:c r="K19" s="3" t="str">
        <x:v>Uttar Pradesh</x:v>
      </x:c>
      <x:c r="L19" s="3" t="str">
        <x:v>Indian lending and microfinance operations</x:v>
      </x:c>
      <x:c r="M19" s="3" t="n">
        <x:v>15</x:v>
      </x:c>
      <x:c r="N19" s="3" t="n">
        <x:v>0</x:v>
      </x:c>
      <x:c r="O19" s="3" t="n">
        <x:v>20</x:v>
      </x:c>
      <x:c r="P19" s="3" t="n">
        <x:v>15</x:v>
      </x:c>
      <x:c r="Q19" s="3" t="n">
        <x:v>5</x:v>
      </x:c>
    </x:row>
    <x:row r="20" ht="44" customHeight="1">
      <x:c r="A20" s="8" t="n">
        <x:v>15</x:v>
      </x:c>
      <x:c r="B20" s="8" t="str">
        <x:v>L015</x:v>
      </x:c>
      <x:c r="C20" s="8" t="str">
        <x:v>Grameen Development &amp; Finance Pvt. Ltd.</x:v>
      </x:c>
      <x:c r="D20" s="8" t="str">
        <x:v>Sarat Chandra Das</x:v>
      </x:c>
      <x:c r="E20" s="8" t="str">
        <x:v>Managing Director</x:v>
      </x:c>
      <x:c r="F20" s="9" t="n">
        <x:f>SUM(M20:Q20)</x:f>
        <x:v>55</x:v>
      </x:c>
      <x:c r="G20" s="8" t="str">
        <x:v>generic</x:v>
      </x:c>
      <x:c r="H20" s="8" t="str">
        <x:v>Research only</x:v>
      </x:c>
      <x:c r="I20" s="8" t="str">
        <x:v>https://www.gdfpl.com/</x:v>
      </x:c>
      <x:c r="J20" s="8" t="str">
        <x:v>https://www.gdfpl.com</x:v>
      </x:c>
      <x:c r="K20" s="8" t="str">
        <x:v>Assam</x:v>
      </x:c>
      <x:c r="L20" s="8" t="str">
        <x:v>Indian lending and microfinance operations</x:v>
      </x:c>
      <x:c r="M20" s="8" t="n">
        <x:v>15</x:v>
      </x:c>
      <x:c r="N20" s="8" t="n">
        <x:v>0</x:v>
      </x:c>
      <x:c r="O20" s="8" t="n">
        <x:v>20</x:v>
      </x:c>
      <x:c r="P20" s="8" t="n">
        <x:v>15</x:v>
      </x:c>
      <x:c r="Q20" s="8" t="n">
        <x:v>5</x:v>
      </x:c>
    </x:row>
    <x:row r="21" ht="44" customHeight="1">
      <x:c r="A21" s="3" t="n">
        <x:v>16</x:v>
      </x:c>
      <x:c r="B21" s="3" t="str">
        <x:v>L016</x:v>
      </x:c>
      <x:c r="C21" s="3" t="str">
        <x:v>Grameen Shakti Microfinance Services Pvt. Ltd</x:v>
      </x:c>
      <x:c r="D21" s="3" t="str">
        <x:v>Ganesh Chandra Modak</x:v>
      </x:c>
      <x:c r="E21" s="3" t="str">
        <x:v>Managing Director</x:v>
      </x:c>
      <x:c r="F21" s="10" t="n">
        <x:f>SUM(M21:Q21)</x:f>
        <x:v>55</x:v>
      </x:c>
      <x:c r="G21" s="3" t="str">
        <x:v>generic</x:v>
      </x:c>
      <x:c r="H21" s="3" t="str">
        <x:v>Research only</x:v>
      </x:c>
      <x:c r="I21" s="3" t="str">
        <x:v>https://grameenshakti.co.in/management-teams/</x:v>
      </x:c>
      <x:c r="J21" s="3" t="str">
        <x:v>https://grameenshakti.co.in</x:v>
      </x:c>
      <x:c r="K21" s="3" t="str">
        <x:v>West Bengal</x:v>
      </x:c>
      <x:c r="L21" s="3" t="str">
        <x:v>Indian lending and microfinance operations</x:v>
      </x:c>
      <x:c r="M21" s="3" t="n">
        <x:v>15</x:v>
      </x:c>
      <x:c r="N21" s="3" t="n">
        <x:v>0</x:v>
      </x:c>
      <x:c r="O21" s="3" t="n">
        <x:v>20</x:v>
      </x:c>
      <x:c r="P21" s="3" t="n">
        <x:v>15</x:v>
      </x:c>
      <x:c r="Q21" s="3" t="n">
        <x:v>5</x:v>
      </x:c>
    </x:row>
    <x:row r="22" ht="44" customHeight="1">
      <x:c r="A22" s="8" t="n">
        <x:v>17</x:v>
      </x:c>
      <x:c r="B22" s="8" t="str">
        <x:v>L017</x:v>
      </x:c>
      <x:c r="C22" s="8" t="str">
        <x:v>Jagaran Microfin Private Limited</x:v>
      </x:c>
      <x:c r="D22" s="8" t="str">
        <x:v>Sourav Ghosh</x:v>
      </x:c>
      <x:c r="E22" s="8" t="str">
        <x:v>Joint Managing Director</x:v>
      </x:c>
      <x:c r="F22" s="9" t="n">
        <x:f>SUM(M22:Q22)</x:f>
        <x:v>55</x:v>
      </x:c>
      <x:c r="G22" s="8" t="str">
        <x:v>generic</x:v>
      </x:c>
      <x:c r="H22" s="8" t="str">
        <x:v>Research only</x:v>
      </x:c>
      <x:c r="I22" s="8" t="str">
        <x:v>https://jagaranmf.com/board-of-directors.php?catlink=board-of-directors</x:v>
      </x:c>
      <x:c r="J22" s="8" t="str">
        <x:v>https://jagaranmf.com</x:v>
      </x:c>
      <x:c r="K22" s="8" t="str">
        <x:v>West Bengal</x:v>
      </x:c>
      <x:c r="L22" s="8" t="str">
        <x:v>Indian lending and microfinance operations</x:v>
      </x:c>
      <x:c r="M22" s="8" t="n">
        <x:v>15</x:v>
      </x:c>
      <x:c r="N22" s="8" t="n">
        <x:v>0</x:v>
      </x:c>
      <x:c r="O22" s="8" t="n">
        <x:v>20</x:v>
      </x:c>
      <x:c r="P22" s="8" t="n">
        <x:v>15</x:v>
      </x:c>
      <x:c r="Q22" s="8" t="n">
        <x:v>5</x:v>
      </x:c>
    </x:row>
    <x:row r="23" ht="44" customHeight="1">
      <x:c r="A23" s="3" t="n">
        <x:v>18</x:v>
      </x:c>
      <x:c r="B23" s="3" t="str">
        <x:v>L018</x:v>
      </x:c>
      <x:c r="C23" s="3" t="str">
        <x:v>Janashree Microfin Limited</x:v>
      </x:c>
      <x:c r="D23" s="3" t="str">
        <x:v>Malik Mohamed Hassan</x:v>
      </x:c>
      <x:c r="E23" s="3" t="str">
        <x:v>Managing Director</x:v>
      </x:c>
      <x:c r="F23" s="10" t="n">
        <x:f>SUM(M23:Q23)</x:f>
        <x:v>55</x:v>
      </x:c>
      <x:c r="G23" s="3" t="str">
        <x:v>generic</x:v>
      </x:c>
      <x:c r="H23" s="3" t="str">
        <x:v>Research only</x:v>
      </x:c>
      <x:c r="I23" s="3" t="str">
        <x:v>https://janashreemicrofinltd.com/about/</x:v>
      </x:c>
      <x:c r="J23" s="3" t="str">
        <x:v>https://janashreemicrofinltd.com</x:v>
      </x:c>
      <x:c r="K23" s="3" t="str">
        <x:v>Kerala</x:v>
      </x:c>
      <x:c r="L23" s="3" t="str">
        <x:v>Indian lending and microfinance operations</x:v>
      </x:c>
      <x:c r="M23" s="3" t="n">
        <x:v>15</x:v>
      </x:c>
      <x:c r="N23" s="3" t="n">
        <x:v>0</x:v>
      </x:c>
      <x:c r="O23" s="3" t="n">
        <x:v>20</x:v>
      </x:c>
      <x:c r="P23" s="3" t="n">
        <x:v>15</x:v>
      </x:c>
      <x:c r="Q23" s="3" t="n">
        <x:v>5</x:v>
      </x:c>
    </x:row>
    <x:row r="24" ht="44" customHeight="1">
      <x:c r="A24" s="8" t="n">
        <x:v>19</x:v>
      </x:c>
      <x:c r="B24" s="8" t="str">
        <x:v>L019</x:v>
      </x:c>
      <x:c r="C24" s="8" t="str">
        <x:v>Jeevan Utthan Financial Services Private Limited</x:v>
      </x:c>
      <x:c r="D24" s="8" t="str">
        <x:v>Aniket Poddar</x:v>
      </x:c>
      <x:c r="E24" s="8" t="str">
        <x:v>Managing Director</x:v>
      </x:c>
      <x:c r="F24" s="9" t="n">
        <x:f>SUM(M24:Q24)</x:f>
        <x:v>55</x:v>
      </x:c>
      <x:c r="G24" s="8" t="str">
        <x:v>generic</x:v>
      </x:c>
      <x:c r="H24" s="8" t="str">
        <x:v>Research only</x:v>
      </x:c>
      <x:c r="I24" s="8" t="str">
        <x:v>https://www.jeevanutthan.in/team-1.php</x:v>
      </x:c>
      <x:c r="J24" s="8" t="str">
        <x:v>https://www.jeevanutthan.in</x:v>
      </x:c>
      <x:c r="K24" s="8" t="str">
        <x:v>West Bengal</x:v>
      </x:c>
      <x:c r="L24" s="8" t="str">
        <x:v>Indian lending and microfinance operations</x:v>
      </x:c>
      <x:c r="M24" s="8" t="n">
        <x:v>15</x:v>
      </x:c>
      <x:c r="N24" s="8" t="n">
        <x:v>0</x:v>
      </x:c>
      <x:c r="O24" s="8" t="n">
        <x:v>20</x:v>
      </x:c>
      <x:c r="P24" s="8" t="n">
        <x:v>15</x:v>
      </x:c>
      <x:c r="Q24" s="8" t="n">
        <x:v>5</x:v>
      </x:c>
    </x:row>
    <x:row r="25" ht="44" customHeight="1">
      <x:c r="A25" s="3" t="n">
        <x:v>20</x:v>
      </x:c>
      <x:c r="B25" s="3" t="str">
        <x:v>L020</x:v>
      </x:c>
      <x:c r="C25" s="3" t="str">
        <x:v>Keshava Prabha Microfin Private Limited.</x:v>
      </x:c>
      <x:c r="D25" s="3" t="str">
        <x:v>Vinu Krishnan</x:v>
      </x:c>
      <x:c r="E25" s="3" t="str">
        <x:v>Managing Director &amp; CEO</x:v>
      </x:c>
      <x:c r="F25" s="10" t="n">
        <x:f>SUM(M25:Q25)</x:f>
        <x:v>55</x:v>
      </x:c>
      <x:c r="G25" s="3" t="str">
        <x:v>generic</x:v>
      </x:c>
      <x:c r="H25" s="3" t="str">
        <x:v>Research only</x:v>
      </x:c>
      <x:c r="I25" s="3" t="str">
        <x:v>https://kpmicrofin.in/about-management-team</x:v>
      </x:c>
      <x:c r="J25" s="3" t="str">
        <x:v>https://kpmicrofin.in</x:v>
      </x:c>
      <x:c r="K25" s="3" t="str">
        <x:v>Kerala</x:v>
      </x:c>
      <x:c r="L25" s="3" t="str">
        <x:v>Indian lending and microfinance operations</x:v>
      </x:c>
      <x:c r="M25" s="3" t="n">
        <x:v>15</x:v>
      </x:c>
      <x:c r="N25" s="3" t="n">
        <x:v>0</x:v>
      </x:c>
      <x:c r="O25" s="3" t="n">
        <x:v>20</x:v>
      </x:c>
      <x:c r="P25" s="3" t="n">
        <x:v>15</x:v>
      </x:c>
      <x:c r="Q25" s="3" t="n">
        <x:v>5</x:v>
      </x:c>
    </x:row>
    <x:row r="26" ht="44" customHeight="1">
      <x:c r="A26" s="8" t="n">
        <x:v>21</x:v>
      </x:c>
      <x:c r="B26" s="8" t="str">
        <x:v>L021</x:v>
      </x:c>
      <x:c r="C26" s="8" t="str">
        <x:v>KSR Capital Services Ltd</x:v>
      </x:c>
      <x:c r="D26" s="8" t="str">
        <x:v>Kanchan Sharma</x:v>
      </x:c>
      <x:c r="E26" s="8" t="str">
        <x:v>Managing Director</x:v>
      </x:c>
      <x:c r="F26" s="9" t="n">
        <x:f>SUM(M26:Q26)</x:f>
        <x:v>55</x:v>
      </x:c>
      <x:c r="G26" s="8" t="str">
        <x:v>generic</x:v>
      </x:c>
      <x:c r="H26" s="8" t="str">
        <x:v>Research only</x:v>
      </x:c>
      <x:c r="I26" s="8" t="str">
        <x:v>https://ksrcsl.com/board-of-director.html</x:v>
      </x:c>
      <x:c r="J26" s="8" t="str">
        <x:v>https://ksrcsl.com</x:v>
      </x:c>
      <x:c r="K26" s="8" t="str">
        <x:v>Haryana</x:v>
      </x:c>
      <x:c r="L26" s="8" t="str">
        <x:v>Indian lending and microfinance operations</x:v>
      </x:c>
      <x:c r="M26" s="8" t="n">
        <x:v>15</x:v>
      </x:c>
      <x:c r="N26" s="8" t="n">
        <x:v>0</x:v>
      </x:c>
      <x:c r="O26" s="8" t="n">
        <x:v>20</x:v>
      </x:c>
      <x:c r="P26" s="8" t="n">
        <x:v>15</x:v>
      </x:c>
      <x:c r="Q26" s="8" t="n">
        <x:v>5</x:v>
      </x:c>
    </x:row>
    <x:row r="27" ht="44" customHeight="1">
      <x:c r="A27" s="3" t="n">
        <x:v>22</x:v>
      </x:c>
      <x:c r="B27" s="3" t="str">
        <x:v>L022</x:v>
      </x:c>
      <x:c r="C27" s="3" t="str">
        <x:v>Magalir Micro Capital Private Limited</x:v>
      </x:c>
      <x:c r="D27" s="3" t="str">
        <x:v>F. Sadiq</x:v>
      </x:c>
      <x:c r="E27" s="3" t="str">
        <x:v>Managing Director</x:v>
      </x:c>
      <x:c r="F27" s="10" t="n">
        <x:f>SUM(M27:Q27)</x:f>
        <x:v>55</x:v>
      </x:c>
      <x:c r="G27" s="3" t="str">
        <x:v>generic</x:v>
      </x:c>
      <x:c r="H27" s="3" t="str">
        <x:v>Research only</x:v>
      </x:c>
      <x:c r="I27" s="3" t="str">
        <x:v>https://magalir.net/board-of-directors/</x:v>
      </x:c>
      <x:c r="J27" s="3" t="str">
        <x:v>https://magalir.net</x:v>
      </x:c>
      <x:c r="K27" s="3" t="str">
        <x:v>Tamil Nadu</x:v>
      </x:c>
      <x:c r="L27" s="3" t="str">
        <x:v>Indian lending and microfinance operations</x:v>
      </x:c>
      <x:c r="M27" s="3" t="n">
        <x:v>15</x:v>
      </x:c>
      <x:c r="N27" s="3" t="n">
        <x:v>0</x:v>
      </x:c>
      <x:c r="O27" s="3" t="n">
        <x:v>20</x:v>
      </x:c>
      <x:c r="P27" s="3" t="n">
        <x:v>15</x:v>
      </x:c>
      <x:c r="Q27" s="3" t="n">
        <x:v>5</x:v>
      </x:c>
    </x:row>
    <x:row r="28" ht="44" customHeight="1">
      <x:c r="A28" s="8" t="n">
        <x:v>23</x:v>
      </x:c>
      <x:c r="B28" s="8" t="str">
        <x:v>L023</x:v>
      </x:c>
      <x:c r="C28" s="8" t="str">
        <x:v>Midland Microfin Ltd</x:v>
      </x:c>
      <x:c r="D28" s="8" t="str">
        <x:v>Amardeep Singh Samra</x:v>
      </x:c>
      <x:c r="E28" s="8" t="str">
        <x:v>Managing Director</x:v>
      </x:c>
      <x:c r="F28" s="9" t="n">
        <x:f>SUM(M28:Q28)</x:f>
        <x:v>55</x:v>
      </x:c>
      <x:c r="G28" s="8" t="str">
        <x:v>generic</x:v>
      </x:c>
      <x:c r="H28" s="8" t="str">
        <x:v>Research only</x:v>
      </x:c>
      <x:c r="I28" s="8" t="str">
        <x:v>https://midlandmicrofin.com/management-team/</x:v>
      </x:c>
      <x:c r="J28" s="8" t="str">
        <x:v>https://midlandmicrofin.com</x:v>
      </x:c>
      <x:c r="K28" s="8" t="str">
        <x:v>Punjab</x:v>
      </x:c>
      <x:c r="L28" s="8" t="str">
        <x:v>Indian lending and microfinance operations</x:v>
      </x:c>
      <x:c r="M28" s="8" t="n">
        <x:v>15</x:v>
      </x:c>
      <x:c r="N28" s="8" t="n">
        <x:v>0</x:v>
      </x:c>
      <x:c r="O28" s="8" t="n">
        <x:v>20</x:v>
      </x:c>
      <x:c r="P28" s="8" t="n">
        <x:v>15</x:v>
      </x:c>
      <x:c r="Q28" s="8" t="n">
        <x:v>5</x:v>
      </x:c>
    </x:row>
    <x:row r="29" ht="44" customHeight="1">
      <x:c r="A29" s="3" t="n">
        <x:v>24</x:v>
      </x:c>
      <x:c r="B29" s="3" t="str">
        <x:v>L024</x:v>
      </x:c>
      <x:c r="C29" s="3" t="str">
        <x:v>MUTHOOT MICROFIN LIMITED</x:v>
      </x:c>
      <x:c r="D29" s="3" t="str">
        <x:v>Sadaf Sayeed</x:v>
      </x:c>
      <x:c r="E29" s="3" t="str">
        <x:v>CEO</x:v>
      </x:c>
      <x:c r="F29" s="10" t="n">
        <x:f>SUM(M29:Q29)</x:f>
        <x:v>55</x:v>
      </x:c>
      <x:c r="G29" s="3" t="str">
        <x:v>generic</x:v>
      </x:c>
      <x:c r="H29" s="3" t="str">
        <x:v>Research only</x:v>
      </x:c>
      <x:c r="I29" s="3" t="str">
        <x:v>https://nationalconference2026.sa-dhan.net/</x:v>
      </x:c>
      <x:c r="J29" s="3" t="str">
        <x:v>https://muthootmicrofin.com</x:v>
      </x:c>
      <x:c r="K29" s="3" t="str">
        <x:v>Delhi</x:v>
      </x:c>
      <x:c r="L29" s="3" t="str">
        <x:v>Indian lending and microfinance operations</x:v>
      </x:c>
      <x:c r="M29" s="3" t="n">
        <x:v>15</x:v>
      </x:c>
      <x:c r="N29" s="3" t="n">
        <x:v>0</x:v>
      </x:c>
      <x:c r="O29" s="3" t="n">
        <x:v>20</x:v>
      </x:c>
      <x:c r="P29" s="3" t="n">
        <x:v>15</x:v>
      </x:c>
      <x:c r="Q29" s="3" t="n">
        <x:v>5</x:v>
      </x:c>
    </x:row>
    <x:row r="30" ht="44" customHeight="1">
      <x:c r="A30" s="8" t="n">
        <x:v>25</x:v>
      </x:c>
      <x:c r="B30" s="8" t="str">
        <x:v>L025</x:v>
      </x:c>
      <x:c r="C30" s="8" t="str">
        <x:v>Namra Finance Limited</x:v>
      </x:c>
      <x:c r="D30" s="8" t="str">
        <x:v>Manoj Jha</x:v>
      </x:c>
      <x:c r="E30" s="8" t="str">
        <x:v>Head IT Planning &amp; Strategy</x:v>
      </x:c>
      <x:c r="F30" s="9" t="n">
        <x:f>SUM(M30:Q30)</x:f>
        <x:v>55</x:v>
      </x:c>
      <x:c r="G30" s="8" t="str">
        <x:v>generic</x:v>
      </x:c>
      <x:c r="H30" s="8" t="str">
        <x:v>Research only</x:v>
      </x:c>
      <x:c r="I30" s="8" t="str">
        <x:v>https://www.namrafinance.com/management.aspx</x:v>
      </x:c>
      <x:c r="J30" s="8" t="str">
        <x:v>https://www.namrafinance.com</x:v>
      </x:c>
      <x:c r="K30" s="8" t="str">
        <x:v>Not established</x:v>
      </x:c>
      <x:c r="L30" s="8" t="str">
        <x:v>Microfinance</x:v>
      </x:c>
      <x:c r="M30" s="8" t="n">
        <x:v>15</x:v>
      </x:c>
      <x:c r="N30" s="8" t="n">
        <x:v>0</x:v>
      </x:c>
      <x:c r="O30" s="8" t="n">
        <x:v>20</x:v>
      </x:c>
      <x:c r="P30" s="8" t="n">
        <x:v>15</x:v>
      </x:c>
      <x:c r="Q30" s="8" t="n">
        <x:v>5</x:v>
      </x:c>
    </x:row>
    <x:row r="31" ht="44" customHeight="1">
      <x:c r="A31" s="3" t="n">
        <x:v>26</x:v>
      </x:c>
      <x:c r="B31" s="3" t="str">
        <x:v>L026</x:v>
      </x:c>
      <x:c r="C31" s="3" t="str">
        <x:v>Navachetana Microfin Services Limited</x:v>
      </x:c>
      <x:c r="D31" s="3" t="str">
        <x:v>Nagendra V. Mali</x:v>
      </x:c>
      <x:c r="E31" s="3" t="str">
        <x:v>Chairman &amp; Managing Director</x:v>
      </x:c>
      <x:c r="F31" s="10" t="n">
        <x:f>SUM(M31:Q31)</x:f>
        <x:v>55</x:v>
      </x:c>
      <x:c r="G31" s="3" t="str">
        <x:v>generic</x:v>
      </x:c>
      <x:c r="H31" s="3" t="str">
        <x:v>Research only</x:v>
      </x:c>
      <x:c r="I31" s="3" t="str">
        <x:v>https://www.navachetana.in/about-us/</x:v>
      </x:c>
      <x:c r="J31" s="3" t="str">
        <x:v>https://www.navachetana.in</x:v>
      </x:c>
      <x:c r="K31" s="3" t="str">
        <x:v>Karnataka</x:v>
      </x:c>
      <x:c r="L31" s="3" t="str">
        <x:v>Indian lending and microfinance operations</x:v>
      </x:c>
      <x:c r="M31" s="3" t="n">
        <x:v>15</x:v>
      </x:c>
      <x:c r="N31" s="3" t="n">
        <x:v>0</x:v>
      </x:c>
      <x:c r="O31" s="3" t="n">
        <x:v>20</x:v>
      </x:c>
      <x:c r="P31" s="3" t="n">
        <x:v>15</x:v>
      </x:c>
      <x:c r="Q31" s="3" t="n">
        <x:v>5</x:v>
      </x:c>
    </x:row>
    <x:row r="32" ht="44" customHeight="1">
      <x:c r="A32" s="8" t="n">
        <x:v>27</x:v>
      </x:c>
      <x:c r="B32" s="8" t="str">
        <x:v>L027</x:v>
      </x:c>
      <x:c r="C32" s="8" t="str">
        <x:v>Nightingale Finvest Pvt. Ltd.</x:v>
      </x:c>
      <x:c r="D32" s="8" t="str">
        <x:v>Mantu Nath Sarma</x:v>
      </x:c>
      <x:c r="E32" s="8" t="str">
        <x:v>Managing Director</x:v>
      </x:c>
      <x:c r="F32" s="9" t="n">
        <x:f>SUM(M32:Q32)</x:f>
        <x:v>55</x:v>
      </x:c>
      <x:c r="G32" s="8" t="str">
        <x:v>generic</x:v>
      </x:c>
      <x:c r="H32" s="8" t="str">
        <x:v>Research only</x:v>
      </x:c>
      <x:c r="I32" s="8" t="str">
        <x:v>https://nightingalefinvest.in/board-of-directors/</x:v>
      </x:c>
      <x:c r="J32" s="8" t="str">
        <x:v>https://nightingalefinvest.in</x:v>
      </x:c>
      <x:c r="K32" s="8" t="str">
        <x:v>Assam</x:v>
      </x:c>
      <x:c r="L32" s="8" t="str">
        <x:v>Indian lending and microfinance operations</x:v>
      </x:c>
      <x:c r="M32" s="8" t="n">
        <x:v>15</x:v>
      </x:c>
      <x:c r="N32" s="8" t="n">
        <x:v>0</x:v>
      </x:c>
      <x:c r="O32" s="8" t="n">
        <x:v>20</x:v>
      </x:c>
      <x:c r="P32" s="8" t="n">
        <x:v>15</x:v>
      </x:c>
      <x:c r="Q32" s="8" t="n">
        <x:v>5</x:v>
      </x:c>
    </x:row>
    <x:row r="33" ht="44" customHeight="1">
      <x:c r="A33" s="3" t="n">
        <x:v>28</x:v>
      </x:c>
      <x:c r="B33" s="3" t="str">
        <x:v>L028</x:v>
      </x:c>
      <x:c r="C33" s="3" t="str">
        <x:v>PAFT FINANCE LIMITED</x:v>
      </x:c>
      <x:c r="D33" s="3" t="str">
        <x:v>R. Stephen Francis Xavier</x:v>
      </x:c>
      <x:c r="E33" s="3" t="str">
        <x:v>Managing Director</x:v>
      </x:c>
      <x:c r="F33" s="10" t="n">
        <x:f>SUM(M33:Q33)</x:f>
        <x:v>55</x:v>
      </x:c>
      <x:c r="G33" s="3" t="str">
        <x:v>generic</x:v>
      </x:c>
      <x:c r="H33" s="3" t="str">
        <x:v>Research only</x:v>
      </x:c>
      <x:c r="I33" s="3" t="str">
        <x:v>https://patgroup.org/aboutus.php</x:v>
      </x:c>
      <x:c r="J33" s="3" t="str">
        <x:v>https://patgroup.org</x:v>
      </x:c>
      <x:c r="K33" s="3" t="str">
        <x:v>Tamil Nadu</x:v>
      </x:c>
      <x:c r="L33" s="3" t="str">
        <x:v>Indian lending and microfinance operations</x:v>
      </x:c>
      <x:c r="M33" s="3" t="n">
        <x:v>15</x:v>
      </x:c>
      <x:c r="N33" s="3" t="n">
        <x:v>0</x:v>
      </x:c>
      <x:c r="O33" s="3" t="n">
        <x:v>20</x:v>
      </x:c>
      <x:c r="P33" s="3" t="n">
        <x:v>15</x:v>
      </x:c>
      <x:c r="Q33" s="3" t="n">
        <x:v>5</x:v>
      </x:c>
    </x:row>
    <x:row r="34" ht="44" customHeight="1">
      <x:c r="A34" s="8" t="n">
        <x:v>29</x:v>
      </x:c>
      <x:c r="B34" s="8" t="str">
        <x:v>L029</x:v>
      </x:c>
      <x:c r="C34" s="8" t="str">
        <x:v>Pahal Financial Services Pvt Ltd</x:v>
      </x:c>
      <x:c r="D34" s="8" t="str">
        <x:v>Kartik S. Mehta</x:v>
      </x:c>
      <x:c r="E34" s="8" t="str">
        <x:v>Co-founder &amp; Managing Director</x:v>
      </x:c>
      <x:c r="F34" s="9" t="n">
        <x:f>SUM(M34:Q34)</x:f>
        <x:v>55</x:v>
      </x:c>
      <x:c r="G34" s="8" t="str">
        <x:v>generic</x:v>
      </x:c>
      <x:c r="H34" s="8" t="str">
        <x:v>Research only</x:v>
      </x:c>
      <x:c r="I34" s="8" t="str">
        <x:v>https://pahalfinance.com/team-category/board-of-directors/</x:v>
      </x:c>
      <x:c r="J34" s="8" t="str">
        <x:v>https://pahalfinance.com</x:v>
      </x:c>
      <x:c r="K34" s="8" t="str">
        <x:v>Gujarat</x:v>
      </x:c>
      <x:c r="L34" s="8" t="str">
        <x:v>Indian lending and microfinance operations</x:v>
      </x:c>
      <x:c r="M34" s="8" t="n">
        <x:v>15</x:v>
      </x:c>
      <x:c r="N34" s="8" t="n">
        <x:v>0</x:v>
      </x:c>
      <x:c r="O34" s="8" t="n">
        <x:v>20</x:v>
      </x:c>
      <x:c r="P34" s="8" t="n">
        <x:v>15</x:v>
      </x:c>
      <x:c r="Q34" s="8" t="n">
        <x:v>5</x:v>
      </x:c>
    </x:row>
    <x:row r="35" ht="44" customHeight="1">
      <x:c r="A35" s="3" t="n">
        <x:v>30</x:v>
      </x:c>
      <x:c r="B35" s="3" t="str">
        <x:v>L030</x:v>
      </x:c>
      <x:c r="C35" s="3" t="str">
        <x:v>Pratyancha Financial Services Limited.</x:v>
      </x:c>
      <x:c r="D35" s="3" t="str">
        <x:v>Asim Siddique</x:v>
      </x:c>
      <x:c r="E35" s="3" t="str">
        <x:v>Chief Operating Officer</x:v>
      </x:c>
      <x:c r="F35" s="10" t="n">
        <x:f>SUM(M35:Q35)</x:f>
        <x:v>55</x:v>
      </x:c>
      <x:c r="G35" s="3" t="str">
        <x:v>generic</x:v>
      </x:c>
      <x:c r="H35" s="3" t="str">
        <x:v>Research only</x:v>
      </x:c>
      <x:c r="I35" s="3" t="str">
        <x:v>https://pratyancha.co.in/team.html</x:v>
      </x:c>
      <x:c r="J35" s="3" t="str">
        <x:v>https://pratyancha.co.in</x:v>
      </x:c>
      <x:c r="K35" s="3" t="str">
        <x:v>Uttar Pradesh</x:v>
      </x:c>
      <x:c r="L35" s="3" t="str">
        <x:v>Indian lending and microfinance operations</x:v>
      </x:c>
      <x:c r="M35" s="3" t="n">
        <x:v>15</x:v>
      </x:c>
      <x:c r="N35" s="3" t="n">
        <x:v>0</x:v>
      </x:c>
      <x:c r="O35" s="3" t="n">
        <x:v>20</x:v>
      </x:c>
      <x:c r="P35" s="3" t="n">
        <x:v>15</x:v>
      </x:c>
      <x:c r="Q35" s="3" t="n">
        <x:v>5</x:v>
      </x:c>
    </x:row>
    <x:row r="36" ht="44" customHeight="1">
      <x:c r="A36" s="8" t="n">
        <x:v>31</x:v>
      </x:c>
      <x:c r="B36" s="8" t="str">
        <x:v>L031</x:v>
      </x:c>
      <x:c r="C36" s="8" t="str">
        <x:v>Prayatna Microfinance Limited</x:v>
      </x:c>
      <x:c r="D36" s="8" t="str">
        <x:v>Somya Srivastava</x:v>
      </x:c>
      <x:c r="E36" s="8" t="str">
        <x:v>Director &amp; CEO</x:v>
      </x:c>
      <x:c r="F36" s="9" t="n">
        <x:f>SUM(M36:Q36)</x:f>
        <x:v>55</x:v>
      </x:c>
      <x:c r="G36" s="8" t="str">
        <x:v>generic</x:v>
      </x:c>
      <x:c r="H36" s="8" t="str">
        <x:v>Research only</x:v>
      </x:c>
      <x:c r="I36" s="8" t="str">
        <x:v>https://www.prayatnamicrofinance.com/board-of-directors/</x:v>
      </x:c>
      <x:c r="J36" s="8" t="str">
        <x:v>https://www.prayatnamicrofinance.com</x:v>
      </x:c>
      <x:c r="K36" s="8" t="str">
        <x:v>Delhi</x:v>
      </x:c>
      <x:c r="L36" s="8" t="str">
        <x:v>Indian lending and microfinance operations</x:v>
      </x:c>
      <x:c r="M36" s="8" t="n">
        <x:v>15</x:v>
      </x:c>
      <x:c r="N36" s="8" t="n">
        <x:v>0</x:v>
      </x:c>
      <x:c r="O36" s="8" t="n">
        <x:v>20</x:v>
      </x:c>
      <x:c r="P36" s="8" t="n">
        <x:v>15</x:v>
      </x:c>
      <x:c r="Q36" s="8" t="n">
        <x:v>5</x:v>
      </x:c>
    </x:row>
    <x:row r="37" ht="44" customHeight="1">
      <x:c r="A37" s="3" t="n">
        <x:v>32</x:v>
      </x:c>
      <x:c r="B37" s="3" t="str">
        <x:v>L032</x:v>
      </x:c>
      <x:c r="C37" s="3" t="str">
        <x:v>Sanghamithra Rural Financial Services</x:v>
      </x:c>
      <x:c r="D37" s="3" t="str">
        <x:v>Sunil Jadli</x:v>
      </x:c>
      <x:c r="E37" s="3" t="str">
        <x:v>CEO</x:v>
      </x:c>
      <x:c r="F37" s="10" t="n">
        <x:f>SUM(M37:Q37)</x:f>
        <x:v>55</x:v>
      </x:c>
      <x:c r="G37" s="3" t="str">
        <x:v>generic</x:v>
      </x:c>
      <x:c r="H37" s="3" t="str">
        <x:v>Research only</x:v>
      </x:c>
      <x:c r="I37" s="3" t="str">
        <x:v>https://nationalconference2026.sa-dhan.net/</x:v>
      </x:c>
      <x:c r="J37" s="3" t="str">
        <x:v>https://sanghamithra.org</x:v>
      </x:c>
      <x:c r="K37" s="3" t="str">
        <x:v>Karnataka</x:v>
      </x:c>
      <x:c r="L37" s="3" t="str">
        <x:v>Indian lending and microfinance operations</x:v>
      </x:c>
      <x:c r="M37" s="3" t="n">
        <x:v>15</x:v>
      </x:c>
      <x:c r="N37" s="3" t="n">
        <x:v>0</x:v>
      </x:c>
      <x:c r="O37" s="3" t="n">
        <x:v>20</x:v>
      </x:c>
      <x:c r="P37" s="3" t="n">
        <x:v>15</x:v>
      </x:c>
      <x:c r="Q37" s="3" t="n">
        <x:v>5</x:v>
      </x:c>
    </x:row>
    <x:row r="38" ht="44" customHeight="1">
      <x:c r="A38" s="8" t="n">
        <x:v>33</x:v>
      </x:c>
      <x:c r="B38" s="8" t="str">
        <x:v>L033</x:v>
      </x:c>
      <x:c r="C38" s="8" t="str">
        <x:v>Sarala Development &amp; Microfinance Pvt Ltd</x:v>
      </x:c>
      <x:c r="D38" s="8" t="str">
        <x:v>Pranab Rakshit</x:v>
      </x:c>
      <x:c r="E38" s="8" t="str">
        <x:v>Managing Director</x:v>
      </x:c>
      <x:c r="F38" s="9" t="n">
        <x:f>SUM(M38:Q38)</x:f>
        <x:v>55</x:v>
      </x:c>
      <x:c r="G38" s="8" t="str">
        <x:v>generic</x:v>
      </x:c>
      <x:c r="H38" s="8" t="str">
        <x:v>Research only</x:v>
      </x:c>
      <x:c r="I38" s="8" t="str">
        <x:v>https://sarala.co.in/management-team/</x:v>
      </x:c>
      <x:c r="J38" s="8" t="str">
        <x:v>https://sarala.co.in</x:v>
      </x:c>
      <x:c r="K38" s="8" t="str">
        <x:v>West Bengal</x:v>
      </x:c>
      <x:c r="L38" s="8" t="str">
        <x:v>Indian lending and microfinance operations</x:v>
      </x:c>
      <x:c r="M38" s="8" t="n">
        <x:v>15</x:v>
      </x:c>
      <x:c r="N38" s="8" t="n">
        <x:v>0</x:v>
      </x:c>
      <x:c r="O38" s="8" t="n">
        <x:v>20</x:v>
      </x:c>
      <x:c r="P38" s="8" t="n">
        <x:v>15</x:v>
      </x:c>
      <x:c r="Q38" s="8" t="n">
        <x:v>5</x:v>
      </x:c>
    </x:row>
    <x:row r="39" ht="44" customHeight="1">
      <x:c r="A39" s="3" t="n">
        <x:v>34</x:v>
      </x:c>
      <x:c r="B39" s="3" t="str">
        <x:v>L034</x:v>
      </x:c>
      <x:c r="C39" s="3" t="str">
        <x:v>Satin Creditcare Network Limited</x:v>
      </x:c>
      <x:c r="D39" s="3" t="str">
        <x:v>H. P. Singh</x:v>
      </x:c>
      <x:c r="E39" s="3" t="str">
        <x:v>Chairman &amp; Managing Director</x:v>
      </x:c>
      <x:c r="F39" s="10" t="n">
        <x:f>SUM(M39:Q39)</x:f>
        <x:v>55</x:v>
      </x:c>
      <x:c r="G39" s="3" t="str">
        <x:v>generic</x:v>
      </x:c>
      <x:c r="H39" s="3" t="str">
        <x:v>Research only</x:v>
      </x:c>
      <x:c r="I39" s="3" t="str">
        <x:v>https://nationalconference2026.sa-dhan.net/</x:v>
      </x:c>
      <x:c r="J39" s="3" t="str">
        <x:v>https://satincreditcare.com</x:v>
      </x:c>
      <x:c r="K39" s="3" t="str">
        <x:v>Haryana</x:v>
      </x:c>
      <x:c r="L39" s="3" t="str">
        <x:v>Indian lending and microfinance operations</x:v>
      </x:c>
      <x:c r="M39" s="3" t="n">
        <x:v>15</x:v>
      </x:c>
      <x:c r="N39" s="3" t="n">
        <x:v>0</x:v>
      </x:c>
      <x:c r="O39" s="3" t="n">
        <x:v>20</x:v>
      </x:c>
      <x:c r="P39" s="3" t="n">
        <x:v>15</x:v>
      </x:c>
      <x:c r="Q39" s="3" t="n">
        <x:v>5</x:v>
      </x:c>
    </x:row>
    <x:row r="40" ht="44" customHeight="1">
      <x:c r="A40" s="8" t="n">
        <x:v>35</x:v>
      </x:c>
      <x:c r="B40" s="8" t="str">
        <x:v>L035</x:v>
      </x:c>
      <x:c r="C40" s="8" t="str">
        <x:v>Satya MicroCapital Limited</x:v>
      </x:c>
      <x:c r="D40" s="8" t="str">
        <x:v>Vivek Tiwari</x:v>
      </x:c>
      <x:c r="E40" s="8" t="str">
        <x:v>Chairman, Managing Director &amp; CEO</x:v>
      </x:c>
      <x:c r="F40" s="9" t="n">
        <x:f>SUM(M40:Q40)</x:f>
        <x:v>55</x:v>
      </x:c>
      <x:c r="G40" s="8" t="str">
        <x:v>generic</x:v>
      </x:c>
      <x:c r="H40" s="8" t="str">
        <x:v>Research only</x:v>
      </x:c>
      <x:c r="I40" s="8" t="str">
        <x:v>https://satyamicrocapital.com/our-board/</x:v>
      </x:c>
      <x:c r="J40" s="8" t="str">
        <x:v>https://satyamicrocapital.com</x:v>
      </x:c>
      <x:c r="K40" s="8" t="str">
        <x:v>Uttar Pradesh</x:v>
      </x:c>
      <x:c r="L40" s="8" t="str">
        <x:v>Indian lending and microfinance operations</x:v>
      </x:c>
      <x:c r="M40" s="8" t="n">
        <x:v>15</x:v>
      </x:c>
      <x:c r="N40" s="8" t="n">
        <x:v>0</x:v>
      </x:c>
      <x:c r="O40" s="8" t="n">
        <x:v>20</x:v>
      </x:c>
      <x:c r="P40" s="8" t="n">
        <x:v>15</x:v>
      </x:c>
      <x:c r="Q40" s="8" t="n">
        <x:v>5</x:v>
      </x:c>
    </x:row>
    <x:row r="41" ht="44" customHeight="1">
      <x:c r="A41" s="3" t="n">
        <x:v>36</x:v>
      </x:c>
      <x:c r="B41" s="3" t="str">
        <x:v>L036</x:v>
      </x:c>
      <x:c r="C41" s="3" t="str">
        <x:v>SEED Capital Private Limited</x:v>
      </x:c>
      <x:c r="D41" s="3" t="str">
        <x:v>Sanjeet Kumar</x:v>
      </x:c>
      <x:c r="E41" s="3" t="str">
        <x:v>Director</x:v>
      </x:c>
      <x:c r="F41" s="10" t="n">
        <x:f>SUM(M41:Q41)</x:f>
        <x:v>55</x:v>
      </x:c>
      <x:c r="G41" s="3" t="str">
        <x:v>generic</x:v>
      </x:c>
      <x:c r="H41" s="3" t="str">
        <x:v>Research only</x:v>
      </x:c>
      <x:c r="I41" s="3" t="str">
        <x:v>https://seedcapital.co.in/html/about</x:v>
      </x:c>
      <x:c r="J41" s="3" t="str">
        <x:v>https://seedcapital.co.in</x:v>
      </x:c>
      <x:c r="K41" s="3" t="str">
        <x:v>Bihar</x:v>
      </x:c>
      <x:c r="L41" s="3" t="str">
        <x:v>Indian lending and microfinance operations</x:v>
      </x:c>
      <x:c r="M41" s="3" t="n">
        <x:v>15</x:v>
      </x:c>
      <x:c r="N41" s="3" t="n">
        <x:v>0</x:v>
      </x:c>
      <x:c r="O41" s="3" t="n">
        <x:v>20</x:v>
      </x:c>
      <x:c r="P41" s="3" t="n">
        <x:v>15</x:v>
      </x:c>
      <x:c r="Q41" s="3" t="n">
        <x:v>5</x:v>
      </x:c>
    </x:row>
    <x:row r="42" ht="44" customHeight="1">
      <x:c r="A42" s="8" t="n">
        <x:v>37</x:v>
      </x:c>
      <x:c r="B42" s="8" t="str">
        <x:v>L037</x:v>
      </x:c>
      <x:c r="C42" s="8" t="str">
        <x:v>Share India Fincap Private Limited</x:v>
      </x:c>
      <x:c r="D42" s="8" t="str">
        <x:v>Aastha Gupta</x:v>
      </x:c>
      <x:c r="E42" s="8" t="str">
        <x:v>CEO</x:v>
      </x:c>
      <x:c r="F42" s="9" t="n">
        <x:f>SUM(M42:Q42)</x:f>
        <x:v>55</x:v>
      </x:c>
      <x:c r="G42" s="8" t="str">
        <x:v>generic</x:v>
      </x:c>
      <x:c r="H42" s="8" t="str">
        <x:v>Research only</x:v>
      </x:c>
      <x:c r="I42" s="8" t="str">
        <x:v>https://www.shareindiafincap.com/our-team.html</x:v>
      </x:c>
      <x:c r="J42" s="8" t="str">
        <x:v>https://www.shareindiafincap.com</x:v>
      </x:c>
      <x:c r="K42" s="8" t="str">
        <x:v>Uttar Pradesh</x:v>
      </x:c>
      <x:c r="L42" s="8" t="str">
        <x:v>Indian lending and microfinance operations</x:v>
      </x:c>
      <x:c r="M42" s="8" t="n">
        <x:v>15</x:v>
      </x:c>
      <x:c r="N42" s="8" t="n">
        <x:v>0</x:v>
      </x:c>
      <x:c r="O42" s="8" t="n">
        <x:v>20</x:v>
      </x:c>
      <x:c r="P42" s="8" t="n">
        <x:v>15</x:v>
      </x:c>
      <x:c r="Q42" s="8" t="n">
        <x:v>5</x:v>
      </x:c>
    </x:row>
    <x:row r="43" ht="44" customHeight="1">
      <x:c r="A43" s="3" t="n">
        <x:v>38</x:v>
      </x:c>
      <x:c r="B43" s="3" t="str">
        <x:v>L038</x:v>
      </x:c>
      <x:c r="C43" s="3" t="str">
        <x:v>South India Finvest Private Limited</x:v>
      </x:c>
      <x:c r="D43" s="3" t="str">
        <x:v>Shanmuga Sundaram R</x:v>
      </x:c>
      <x:c r="E43" s="3" t="str">
        <x:v>Executive Director &amp; CTO</x:v>
      </x:c>
      <x:c r="F43" s="10" t="n">
        <x:f>SUM(M43:Q43)</x:f>
        <x:v>55</x:v>
      </x:c>
      <x:c r="G43" s="3" t="str">
        <x:v>generic</x:v>
      </x:c>
      <x:c r="H43" s="3" t="str">
        <x:v>Research only</x:v>
      </x:c>
      <x:c r="I43" s="3" t="str">
        <x:v>https://southindiafinvest.com/</x:v>
      </x:c>
      <x:c r="J43" s="3" t="str">
        <x:v>https://southindiafinvest.com</x:v>
      </x:c>
      <x:c r="K43" s="3" t="str">
        <x:v>Tamil Nadu</x:v>
      </x:c>
      <x:c r="L43" s="3" t="str">
        <x:v>Indian lending and microfinance operations</x:v>
      </x:c>
      <x:c r="M43" s="3" t="n">
        <x:v>15</x:v>
      </x:c>
      <x:c r="N43" s="3" t="n">
        <x:v>0</x:v>
      </x:c>
      <x:c r="O43" s="3" t="n">
        <x:v>20</x:v>
      </x:c>
      <x:c r="P43" s="3" t="n">
        <x:v>15</x:v>
      </x:c>
      <x:c r="Q43" s="3" t="n">
        <x:v>5</x:v>
      </x:c>
    </x:row>
    <x:row r="44" ht="44" customHeight="1">
      <x:c r="A44" s="8" t="n">
        <x:v>39</x:v>
      </x:c>
      <x:c r="B44" s="8" t="str">
        <x:v>L039</x:v>
      </x:c>
      <x:c r="C44" s="8" t="str">
        <x:v>Svamaan Financial Services Private Ltd.</x:v>
      </x:c>
      <x:c r="D44" s="8" t="str">
        <x:v>G. Kiran Kumar</x:v>
      </x:c>
      <x:c r="E44" s="8" t="str">
        <x:v>Executive Director &amp; CEO</x:v>
      </x:c>
      <x:c r="F44" s="9" t="n">
        <x:f>SUM(M44:Q44)</x:f>
        <x:v>55</x:v>
      </x:c>
      <x:c r="G44" s="8" t="str">
        <x:v>generic</x:v>
      </x:c>
      <x:c r="H44" s="8" t="str">
        <x:v>Research only</x:v>
      </x:c>
      <x:c r="I44" s="8" t="str">
        <x:v>https://www.svamaan.in/Founder-and-Directors.php</x:v>
      </x:c>
      <x:c r="J44" s="8" t="str">
        <x:v>https://www.svamaan.in</x:v>
      </x:c>
      <x:c r="K44" s="8" t="str">
        <x:v>Maharashtra</x:v>
      </x:c>
      <x:c r="L44" s="8" t="str">
        <x:v>Indian lending and microfinance operations</x:v>
      </x:c>
      <x:c r="M44" s="8" t="n">
        <x:v>15</x:v>
      </x:c>
      <x:c r="N44" s="8" t="n">
        <x:v>0</x:v>
      </x:c>
      <x:c r="O44" s="8" t="n">
        <x:v>20</x:v>
      </x:c>
      <x:c r="P44" s="8" t="n">
        <x:v>15</x:v>
      </x:c>
      <x:c r="Q44" s="8" t="n">
        <x:v>5</x:v>
      </x:c>
    </x:row>
    <x:row r="45" ht="44" customHeight="1">
      <x:c r="A45" s="3" t="n">
        <x:v>40</x:v>
      </x:c>
      <x:c r="B45" s="3" t="str">
        <x:v>L040</x:v>
      </x:c>
      <x:c r="C45" s="3" t="str">
        <x:v>Swarnodhayam Credits Private Limited</x:v>
      </x:c>
      <x:c r="D45" s="3" t="str">
        <x:v>Satish D.</x:v>
      </x:c>
      <x:c r="E45" s="3" t="str">
        <x:v>Managing Director &amp; CEO</x:v>
      </x:c>
      <x:c r="F45" s="10" t="n">
        <x:f>SUM(M45:Q45)</x:f>
        <x:v>55</x:v>
      </x:c>
      <x:c r="G45" s="3" t="str">
        <x:v>generic</x:v>
      </x:c>
      <x:c r="H45" s="3" t="str">
        <x:v>Research only</x:v>
      </x:c>
      <x:c r="I45" s="3" t="str">
        <x:v>https://www.swarnodhayam.com/executive-committee</x:v>
      </x:c>
      <x:c r="J45" s="3" t="str">
        <x:v>https://www.swarnodhayam.com</x:v>
      </x:c>
      <x:c r="K45" s="3" t="str">
        <x:v>Tamil Nadu</x:v>
      </x:c>
      <x:c r="L45" s="3" t="str">
        <x:v>Indian lending and microfinance operations</x:v>
      </x:c>
      <x:c r="M45" s="3" t="n">
        <x:v>15</x:v>
      </x:c>
      <x:c r="N45" s="3" t="n">
        <x:v>0</x:v>
      </x:c>
      <x:c r="O45" s="3" t="n">
        <x:v>20</x:v>
      </x:c>
      <x:c r="P45" s="3" t="n">
        <x:v>15</x:v>
      </x:c>
      <x:c r="Q45" s="3" t="n">
        <x:v>5</x:v>
      </x:c>
    </x:row>
    <x:row r="46" ht="44" customHeight="1">
      <x:c r="A46" s="8" t="n">
        <x:v>41</x:v>
      </x:c>
      <x:c r="B46" s="8" t="str">
        <x:v>L041</x:v>
      </x:c>
      <x:c r="C46" s="8" t="str">
        <x:v>UNACCO Financial Services Pvt. Ltd.</x:v>
      </x:c>
      <x:c r="D46" s="8" t="str">
        <x:v>L. Khogen Singh</x:v>
      </x:c>
      <x:c r="E46" s="8" t="str">
        <x:v>CEO</x:v>
      </x:c>
      <x:c r="F46" s="9" t="n">
        <x:f>SUM(M46:Q46)</x:f>
        <x:v>55</x:v>
      </x:c>
      <x:c r="G46" s="8" t="str">
        <x:v>generic</x:v>
      </x:c>
      <x:c r="H46" s="8" t="str">
        <x:v>Research only</x:v>
      </x:c>
      <x:c r="I46" s="8" t="str">
        <x:v>https://www.unacco.in/management-team</x:v>
      </x:c>
      <x:c r="J46" s="8" t="str">
        <x:v>https://www.unacco.in</x:v>
      </x:c>
      <x:c r="K46" s="8" t="str">
        <x:v>Assam</x:v>
      </x:c>
      <x:c r="L46" s="8" t="str">
        <x:v>Indian lending and microfinance operations</x:v>
      </x:c>
      <x:c r="M46" s="8" t="n">
        <x:v>15</x:v>
      </x:c>
      <x:c r="N46" s="8" t="n">
        <x:v>0</x:v>
      </x:c>
      <x:c r="O46" s="8" t="n">
        <x:v>20</x:v>
      </x:c>
      <x:c r="P46" s="8" t="n">
        <x:v>15</x:v>
      </x:c>
      <x:c r="Q46" s="8" t="n">
        <x:v>5</x:v>
      </x:c>
    </x:row>
    <x:row r="47" ht="44" customHeight="1">
      <x:c r="A47" s="3" t="n">
        <x:v>42</x:v>
      </x:c>
      <x:c r="B47" s="3" t="str">
        <x:v>L042</x:v>
      </x:c>
      <x:c r="C47" s="3" t="str">
        <x:v>Uttrayan Financial Services Pvt. Ltd</x:v>
      </x:c>
      <x:c r="D47" s="3" t="str">
        <x:v>Kartick Biswas</x:v>
      </x:c>
      <x:c r="E47" s="3" t="str">
        <x:v>Managing Director</x:v>
      </x:c>
      <x:c r="F47" s="10" t="n">
        <x:f>SUM(M47:Q47)</x:f>
        <x:v>55</x:v>
      </x:c>
      <x:c r="G47" s="3" t="str">
        <x:v>generic</x:v>
      </x:c>
      <x:c r="H47" s="3" t="str">
        <x:v>Research only</x:v>
      </x:c>
      <x:c r="I47" s="3" t="str">
        <x:v>https://uttrayan-mfi.com/management-team/</x:v>
      </x:c>
      <x:c r="J47" s="3" t="str">
        <x:v>https://uttrayan-mfi.com</x:v>
      </x:c>
      <x:c r="K47" s="3" t="str">
        <x:v>West Bengal</x:v>
      </x:c>
      <x:c r="L47" s="3" t="str">
        <x:v>Indian lending and microfinance operations</x:v>
      </x:c>
      <x:c r="M47" s="3" t="n">
        <x:v>15</x:v>
      </x:c>
      <x:c r="N47" s="3" t="n">
        <x:v>0</x:v>
      </x:c>
      <x:c r="O47" s="3" t="n">
        <x:v>20</x:v>
      </x:c>
      <x:c r="P47" s="3" t="n">
        <x:v>15</x:v>
      </x:c>
      <x:c r="Q47" s="3" t="n">
        <x:v>5</x:v>
      </x:c>
    </x:row>
    <x:row r="48" ht="44" customHeight="1">
      <x:c r="A48" s="8" t="n">
        <x:v>43</x:v>
      </x:c>
      <x:c r="B48" s="8" t="str">
        <x:v>L043</x:v>
      </x:c>
      <x:c r="C48" s="8" t="str">
        <x:v>Valar Aditi Social Finance Pvt. Ltd.</x:v>
      </x:c>
      <x:c r="D48" s="8" t="str">
        <x:v>I. Sebastian</x:v>
      </x:c>
      <x:c r="E48" s="8" t="str">
        <x:v>Managing Director</x:v>
      </x:c>
      <x:c r="F48" s="9" t="n">
        <x:f>SUM(M48:Q48)</x:f>
        <x:v>55</x:v>
      </x:c>
      <x:c r="G48" s="8" t="str">
        <x:v>generic</x:v>
      </x:c>
      <x:c r="H48" s="8" t="str">
        <x:v>Research only</x:v>
      </x:c>
      <x:c r="I48" s="8" t="str">
        <x:v>https://valaraditi.in/board-of-directors/</x:v>
      </x:c>
      <x:c r="J48" s="8" t="str">
        <x:v>https://valaraditi.in</x:v>
      </x:c>
      <x:c r="K48" s="8" t="str">
        <x:v>Tamil Nadu</x:v>
      </x:c>
      <x:c r="L48" s="8" t="str">
        <x:v>Indian lending and microfinance operations</x:v>
      </x:c>
      <x:c r="M48" s="8" t="n">
        <x:v>15</x:v>
      </x:c>
      <x:c r="N48" s="8" t="n">
        <x:v>0</x:v>
      </x:c>
      <x:c r="O48" s="8" t="n">
        <x:v>20</x:v>
      </x:c>
      <x:c r="P48" s="8" t="n">
        <x:v>15</x:v>
      </x:c>
      <x:c r="Q48" s="8" t="n">
        <x:v>5</x:v>
      </x:c>
    </x:row>
    <x:row r="49" ht="44" customHeight="1">
      <x:c r="A49" s="3" t="n">
        <x:v>44</x:v>
      </x:c>
      <x:c r="B49" s="3" t="str">
        <x:v>L044</x:v>
      </x:c>
      <x:c r="C49" s="3" t="str">
        <x:v>Vanchinad Finance Private Limited</x:v>
      </x:c>
      <x:c r="D49" s="3" t="str">
        <x:v>Griger Cherry Williams</x:v>
      </x:c>
      <x:c r="E49" s="3" t="str">
        <x:v>Whole-time Director</x:v>
      </x:c>
      <x:c r="F49" s="10" t="n">
        <x:f>SUM(M49:Q49)</x:f>
        <x:v>55</x:v>
      </x:c>
      <x:c r="G49" s="3" t="str">
        <x:v>generic</x:v>
      </x:c>
      <x:c r="H49" s="3" t="str">
        <x:v>Research only</x:v>
      </x:c>
      <x:c r="I49" s="3" t="str">
        <x:v>https://vanchinad.com/index.php/board-of-directors/</x:v>
      </x:c>
      <x:c r="J49" s="3" t="str">
        <x:v>https://vanchinad.com</x:v>
      </x:c>
      <x:c r="K49" s="3" t="str">
        <x:v>Kerala</x:v>
      </x:c>
      <x:c r="L49" s="3" t="str">
        <x:v>Indian lending and microfinance operations</x:v>
      </x:c>
      <x:c r="M49" s="3" t="n">
        <x:v>15</x:v>
      </x:c>
      <x:c r="N49" s="3" t="n">
        <x:v>0</x:v>
      </x:c>
      <x:c r="O49" s="3" t="n">
        <x:v>20</x:v>
      </x:c>
      <x:c r="P49" s="3" t="n">
        <x:v>15</x:v>
      </x:c>
      <x:c r="Q49" s="3" t="n">
        <x:v>5</x:v>
      </x:c>
    </x:row>
    <x:row r="50" ht="44" customHeight="1">
      <x:c r="A50" s="8" t="n">
        <x:v>45</x:v>
      </x:c>
      <x:c r="B50" s="8" t="str">
        <x:v>L045</x:v>
      </x:c>
      <x:c r="C50" s="8" t="str">
        <x:v>Vector Finance Private Limited</x:v>
      </x:c>
      <x:c r="D50" s="8" t="str">
        <x:v>Prasanta K. Sahu</x:v>
      </x:c>
      <x:c r="E50" s="8" t="str">
        <x:v>Chief Operating Officer</x:v>
      </x:c>
      <x:c r="F50" s="9" t="n">
        <x:f>SUM(M50:Q50)</x:f>
        <x:v>55</x:v>
      </x:c>
      <x:c r="G50" s="8" t="str">
        <x:v>generic</x:v>
      </x:c>
      <x:c r="H50" s="8" t="str">
        <x:v>Research only</x:v>
      </x:c>
      <x:c r="I50" s="8" t="str">
        <x:v>https://vectorfinance.in/board-member/</x:v>
      </x:c>
      <x:c r="J50" s="8" t="str">
        <x:v>https://vectorfinance.in</x:v>
      </x:c>
      <x:c r="K50" s="8" t="str">
        <x:v>West Bengal</x:v>
      </x:c>
      <x:c r="L50" s="8" t="str">
        <x:v>Indian lending and microfinance operations</x:v>
      </x:c>
      <x:c r="M50" s="8" t="n">
        <x:v>15</x:v>
      </x:c>
      <x:c r="N50" s="8" t="n">
        <x:v>0</x:v>
      </x:c>
      <x:c r="O50" s="8" t="n">
        <x:v>20</x:v>
      </x:c>
      <x:c r="P50" s="8" t="n">
        <x:v>15</x:v>
      </x:c>
      <x:c r="Q50" s="8" t="n">
        <x:v>5</x:v>
      </x:c>
    </x:row>
    <x:row r="51" ht="44" customHeight="1">
      <x:c r="A51" s="3" t="n">
        <x:v>46</x:v>
      </x:c>
      <x:c r="B51" s="3" t="str">
        <x:v>L046</x:v>
      </x:c>
      <x:c r="C51" s="3" t="str">
        <x:v>Velicham Finance Private Limited</x:v>
      </x:c>
      <x:c r="D51" s="3" t="str">
        <x:v>Nagarajan Muthukrishnan</x:v>
      </x:c>
      <x:c r="E51" s="3" t="str">
        <x:v>Managing Director &amp; CEO</x:v>
      </x:c>
      <x:c r="F51" s="10" t="n">
        <x:f>SUM(M51:Q51)</x:f>
        <x:v>55</x:v>
      </x:c>
      <x:c r="G51" s="3" t="str">
        <x:v>generic</x:v>
      </x:c>
      <x:c r="H51" s="3" t="str">
        <x:v>Research only</x:v>
      </x:c>
      <x:c r="I51" s="3" t="str">
        <x:v>https://velichamfinance.com/about-us/</x:v>
      </x:c>
      <x:c r="J51" s="3" t="str">
        <x:v>https://velichamfinance.com</x:v>
      </x:c>
      <x:c r="K51" s="3" t="str">
        <x:v>Tamil Nadu</x:v>
      </x:c>
      <x:c r="L51" s="3" t="str">
        <x:v>Indian lending and microfinance operations</x:v>
      </x:c>
      <x:c r="M51" s="3" t="n">
        <x:v>15</x:v>
      </x:c>
      <x:c r="N51" s="3" t="n">
        <x:v>0</x:v>
      </x:c>
      <x:c r="O51" s="3" t="n">
        <x:v>20</x:v>
      </x:c>
      <x:c r="P51" s="3" t="n">
        <x:v>15</x:v>
      </x:c>
      <x:c r="Q51" s="3" t="n">
        <x:v>5</x:v>
      </x:c>
    </x:row>
    <x:row r="52" ht="44" customHeight="1">
      <x:c r="A52" s="8" t="n">
        <x:v>47</x:v>
      </x:c>
      <x:c r="B52" s="8" t="str">
        <x:v>L047</x:v>
      </x:c>
      <x:c r="C52" s="8" t="str">
        <x:v>Virutcham Microfinance Ltd. (VML)</x:v>
      </x:c>
      <x:c r="D52" s="8" t="str">
        <x:v>S. Charles Selvaraj</x:v>
      </x:c>
      <x:c r="E52" s="8" t="str">
        <x:v>Managing Director &amp; CEO</x:v>
      </x:c>
      <x:c r="F52" s="9" t="n">
        <x:f>SUM(M52:Q52)</x:f>
        <x:v>55</x:v>
      </x:c>
      <x:c r="G52" s="8" t="str">
        <x:v>generic</x:v>
      </x:c>
      <x:c r="H52" s="8" t="str">
        <x:v>Research only</x:v>
      </x:c>
      <x:c r="I52" s="8" t="str">
        <x:v>https://virutcham.org/profile-of-directors-and-promoters/</x:v>
      </x:c>
      <x:c r="J52" s="8" t="str">
        <x:v>https://virutcham.org</x:v>
      </x:c>
      <x:c r="K52" s="8" t="str">
        <x:v>Tamil Nadu</x:v>
      </x:c>
      <x:c r="L52" s="8" t="str">
        <x:v>Indian lending and microfinance operations</x:v>
      </x:c>
      <x:c r="M52" s="8" t="n">
        <x:v>15</x:v>
      </x:c>
      <x:c r="N52" s="8" t="n">
        <x:v>0</x:v>
      </x:c>
      <x:c r="O52" s="8" t="n">
        <x:v>20</x:v>
      </x:c>
      <x:c r="P52" s="8" t="n">
        <x:v>15</x:v>
      </x:c>
      <x:c r="Q52" s="8" t="n">
        <x:v>5</x:v>
      </x:c>
    </x:row>
    <x:row r="53" ht="44" customHeight="1">
      <x:c r="A53" s="3" t="n">
        <x:v>48</x:v>
      </x:c>
      <x:c r="B53" s="3" t="str">
        <x:v>L048</x:v>
      </x:c>
      <x:c r="C53" s="3" t="str">
        <x:v>Wegrow Financial Services Private Limited</x:v>
      </x:c>
      <x:c r="D53" s="3" t="str">
        <x:v>Chitta Ranjan Barai</x:v>
      </x:c>
      <x:c r="E53" s="3" t="str">
        <x:v>Director &amp; COO</x:v>
      </x:c>
      <x:c r="F53" s="10" t="n">
        <x:f>SUM(M53:Q53)</x:f>
        <x:v>55</x:v>
      </x:c>
      <x:c r="G53" s="3" t="str">
        <x:v>generic</x:v>
      </x:c>
      <x:c r="H53" s="3" t="str">
        <x:v>Research only</x:v>
      </x:c>
      <x:c r="I53" s="3" t="str">
        <x:v>https://www.wegrowindia.com/sr-management-team</x:v>
      </x:c>
      <x:c r="J53" s="3" t="str">
        <x:v>https://www.wegrowindia.com</x:v>
      </x:c>
      <x:c r="K53" s="3" t="str">
        <x:v>West Bengal</x:v>
      </x:c>
      <x:c r="L53" s="3" t="str">
        <x:v>Indian lending and microfinance operations</x:v>
      </x:c>
      <x:c r="M53" s="3" t="n">
        <x:v>15</x:v>
      </x:c>
      <x:c r="N53" s="3" t="n">
        <x:v>0</x:v>
      </x:c>
      <x:c r="O53" s="3" t="n">
        <x:v>20</x:v>
      </x:c>
      <x:c r="P53" s="3" t="n">
        <x:v>15</x:v>
      </x:c>
      <x:c r="Q53" s="3" t="n">
        <x:v>5</x:v>
      </x:c>
    </x:row>
    <x:row r="54" ht="44" customHeight="1">
      <x:c r="A54" s="8" t="n">
        <x:v>49</x:v>
      </x:c>
      <x:c r="B54" s="8" t="str">
        <x:v>L049</x:v>
      </x:c>
      <x:c r="C54" s="8" t="str">
        <x:v>YVU Financial Service</x:v>
      </x:c>
      <x:c r="D54" s="8" t="str">
        <x:v>Bikendrajit Akoijam</x:v>
      </x:c>
      <x:c r="E54" s="8" t="str">
        <x:v>Managing Director</x:v>
      </x:c>
      <x:c r="F54" s="9" t="n">
        <x:f>SUM(M54:Q54)</x:f>
        <x:v>55</x:v>
      </x:c>
      <x:c r="G54" s="8" t="str">
        <x:v>generic</x:v>
      </x:c>
      <x:c r="H54" s="8" t="str">
        <x:v>Research only</x:v>
      </x:c>
      <x:c r="I54" s="8" t="str">
        <x:v>https://www.yvumf.com/about.php</x:v>
      </x:c>
      <x:c r="J54" s="8" t="str">
        <x:v>https://www.yvumf.com</x:v>
      </x:c>
      <x:c r="K54" s="8" t="str">
        <x:v>Manipur</x:v>
      </x:c>
      <x:c r="L54" s="8" t="str">
        <x:v>Indian lending and microfinance operations</x:v>
      </x:c>
      <x:c r="M54" s="8" t="n">
        <x:v>15</x:v>
      </x:c>
      <x:c r="N54" s="8" t="n">
        <x:v>0</x:v>
      </x:c>
      <x:c r="O54" s="8" t="n">
        <x:v>20</x:v>
      </x:c>
      <x:c r="P54" s="8" t="n">
        <x:v>15</x:v>
      </x:c>
      <x:c r="Q54" s="8" t="n">
        <x:v>5</x:v>
      </x:c>
    </x:row>
    <x:row r="55" ht="44" customHeight="1">
      <x:c r="A55" s="3" t="n">
        <x:v>50</x:v>
      </x:c>
      <x:c r="B55" s="3" t="str">
        <x:v>L050</x:v>
      </x:c>
      <x:c r="C55" s="3" t="str">
        <x:v>Aavas Financiers Limited</x:v>
      </x:c>
      <x:c r="D55" s="3" t="str">
        <x:v>Jijy Oommen</x:v>
      </x:c>
      <x:c r="E55" s="3" t="str">
        <x:v>Chief Technology Officer</x:v>
      </x:c>
      <x:c r="F55" s="10" t="n">
        <x:f>SUM(M55:Q55)</x:f>
        <x:v>50</x:v>
      </x:c>
      <x:c r="G55" s="3" t="str">
        <x:v>unknown</x:v>
      </x:c>
      <x:c r="H55" s="3" t="str">
        <x:v>Research only</x:v>
      </x:c>
      <x:c r="I55" s="3" t="str">
        <x:v>https://www.aavas.in/our-leadership</x:v>
      </x:c>
      <x:c r="J55" s="3" t="str">
        <x:v>https://www.aavas.in</x:v>
      </x:c>
      <x:c r="K55" s="3" t="str">
        <x:v>Not established</x:v>
      </x:c>
      <x:c r="L55" s="3" t="str">
        <x:v>Housing finance</x:v>
      </x:c>
      <x:c r="M55" s="3" t="n">
        <x:v>15</x:v>
      </x:c>
      <x:c r="N55" s="3" t="n">
        <x:v>0</x:v>
      </x:c>
      <x:c r="O55" s="3" t="n">
        <x:v>20</x:v>
      </x:c>
      <x:c r="P55" s="3" t="n">
        <x:v>15</x:v>
      </x:c>
      <x:c r="Q55" s="3" t="n">
        <x:v>0</x:v>
      </x:c>
    </x:row>
    <x:row r="56" ht="44" customHeight="1">
      <x:c r="A56" s="8" t="n">
        <x:v>51</x:v>
      </x:c>
      <x:c r="B56" s="8" t="str">
        <x:v>L051</x:v>
      </x:c>
      <x:c r="C56" s="8" t="str">
        <x:v>Anik Financial Services Pvt Ltd</x:v>
      </x:c>
      <x:c r="D56" s="8" t="str">
        <x:v>Vishwanath Todkar</x:v>
      </x:c>
      <x:c r="E56" s="8" t="str">
        <x:v>Managing Director</x:v>
      </x:c>
      <x:c r="F56" s="9" t="n">
        <x:f>SUM(M56:Q56)</x:f>
        <x:v>50</x:v>
      </x:c>
      <x:c r="G56" s="8" t="str">
        <x:v>unknown</x:v>
      </x:c>
      <x:c r="H56" s="8" t="str">
        <x:v>Research only</x:v>
      </x:c>
      <x:c r="I56" s="8" t="str">
        <x:v>https://www.anikfin.com/</x:v>
      </x:c>
      <x:c r="J56" s="8" t="str">
        <x:v>https://www.anikfin.com</x:v>
      </x:c>
      <x:c r="K56" s="8" t="str">
        <x:v>Maharashtra</x:v>
      </x:c>
      <x:c r="L56" s="8" t="str">
        <x:v>Indian lending and microfinance operations</x:v>
      </x:c>
      <x:c r="M56" s="8" t="n">
        <x:v>15</x:v>
      </x:c>
      <x:c r="N56" s="8" t="n">
        <x:v>0</x:v>
      </x:c>
      <x:c r="O56" s="8" t="n">
        <x:v>20</x:v>
      </x:c>
      <x:c r="P56" s="8" t="n">
        <x:v>15</x:v>
      </x:c>
      <x:c r="Q56" s="8" t="n">
        <x:v>0</x:v>
      </x:c>
    </x:row>
    <x:row r="57" ht="44" customHeight="1">
      <x:c r="A57" s="3" t="n">
        <x:v>52</x:v>
      </x:c>
      <x:c r="B57" s="3" t="str">
        <x:v>L052</x:v>
      </x:c>
      <x:c r="C57" s="3" t="str">
        <x:v>Annapurna Finance Private Limited</x:v>
      </x:c>
      <x:c r="D57" s="3" t="str">
        <x:v>Dibyajyoti Pattanaik</x:v>
      </x:c>
      <x:c r="E57" s="3" t="str">
        <x:v>Director</x:v>
      </x:c>
      <x:c r="F57" s="10" t="n">
        <x:f>SUM(M57:Q57)</x:f>
        <x:v>50</x:v>
      </x:c>
      <x:c r="G57" s="3" t="str">
        <x:v>unknown</x:v>
      </x:c>
      <x:c r="H57" s="3" t="str">
        <x:v>Research only</x:v>
      </x:c>
      <x:c r="I57" s="3" t="str">
        <x:v>https://nationalconference2026.sa-dhan.net/</x:v>
      </x:c>
      <x:c r="J57" s="3" t="str">
        <x:v>Not established</x:v>
      </x:c>
      <x:c r="K57" s="3" t="str">
        <x:v>Odisha</x:v>
      </x:c>
      <x:c r="L57" s="3" t="str">
        <x:v>Indian lending and microfinance operations</x:v>
      </x:c>
      <x:c r="M57" s="3" t="n">
        <x:v>15</x:v>
      </x:c>
      <x:c r="N57" s="3" t="n">
        <x:v>0</x:v>
      </x:c>
      <x:c r="O57" s="3" t="n">
        <x:v>20</x:v>
      </x:c>
      <x:c r="P57" s="3" t="n">
        <x:v>15</x:v>
      </x:c>
      <x:c r="Q57" s="3" t="n">
        <x:v>0</x:v>
      </x:c>
    </x:row>
    <x:row r="58" ht="44" customHeight="1">
      <x:c r="A58" s="8" t="n">
        <x:v>53</x:v>
      </x:c>
      <x:c r="B58" s="8" t="str">
        <x:v>L053</x:v>
      </x:c>
      <x:c r="C58" s="8" t="str">
        <x:v>Aptus Value Housing Finance India Limited</x:v>
      </x:c>
      <x:c r="D58" s="8" t="str">
        <x:v>Balaji P</x:v>
      </x:c>
      <x:c r="E58" s="8" t="str">
        <x:v>Managing Director</x:v>
      </x:c>
      <x:c r="F58" s="9" t="n">
        <x:f>SUM(M58:Q58)</x:f>
        <x:v>50</x:v>
      </x:c>
      <x:c r="G58" s="8" t="str">
        <x:v>unknown</x:v>
      </x:c>
      <x:c r="H58" s="8" t="str">
        <x:v>Research only</x:v>
      </x:c>
      <x:c r="I58" s="8" t="str">
        <x:v>https://www.aptusindia.com/management-team/</x:v>
      </x:c>
      <x:c r="J58" s="8" t="str">
        <x:v>https://www.aptusindia.com</x:v>
      </x:c>
      <x:c r="K58" s="8" t="str">
        <x:v>Not established</x:v>
      </x:c>
      <x:c r="L58" s="8" t="str">
        <x:v>Housing finance</x:v>
      </x:c>
      <x:c r="M58" s="8" t="n">
        <x:v>15</x:v>
      </x:c>
      <x:c r="N58" s="8" t="n">
        <x:v>0</x:v>
      </x:c>
      <x:c r="O58" s="8" t="n">
        <x:v>20</x:v>
      </x:c>
      <x:c r="P58" s="8" t="n">
        <x:v>15</x:v>
      </x:c>
      <x:c r="Q58" s="8" t="n">
        <x:v>0</x:v>
      </x:c>
    </x:row>
    <x:row r="59" ht="44" customHeight="1">
      <x:c r="A59" s="3" t="n">
        <x:v>54</x:v>
      </x:c>
      <x:c r="B59" s="3" t="str">
        <x:v>L054</x:v>
      </x:c>
      <x:c r="C59" s="3" t="str">
        <x:v>Arohan Financial Services Limited</x:v>
      </x:c>
      <x:c r="D59" s="3" t="str">
        <x:v>Manoj Kumar Nambiar</x:v>
      </x:c>
      <x:c r="E59" s="3" t="str">
        <x:v>Managing Director</x:v>
      </x:c>
      <x:c r="F59" s="10" t="n">
        <x:f>SUM(M59:Q59)</x:f>
        <x:v>50</x:v>
      </x:c>
      <x:c r="G59" s="3" t="str">
        <x:v>unknown</x:v>
      </x:c>
      <x:c r="H59" s="3" t="str">
        <x:v>Research only</x:v>
      </x:c>
      <x:c r="I59" s="3" t="str">
        <x:v>https://mfinindia.org/about/leadership</x:v>
      </x:c>
      <x:c r="J59" s="3" t="str">
        <x:v>Not established</x:v>
      </x:c>
      <x:c r="K59" s="3" t="str">
        <x:v>Not established</x:v>
      </x:c>
      <x:c r="L59" s="3" t="str">
        <x:v>Microfinance</x:v>
      </x:c>
      <x:c r="M59" s="3" t="n">
        <x:v>15</x:v>
      </x:c>
      <x:c r="N59" s="3" t="n">
        <x:v>0</x:v>
      </x:c>
      <x:c r="O59" s="3" t="n">
        <x:v>20</x:v>
      </x:c>
      <x:c r="P59" s="3" t="n">
        <x:v>15</x:v>
      </x:c>
      <x:c r="Q59" s="3" t="n">
        <x:v>0</x:v>
      </x:c>
    </x:row>
    <x:row r="60" ht="44" customHeight="1">
      <x:c r="A60" s="8" t="n">
        <x:v>55</x:v>
      </x:c>
      <x:c r="B60" s="8" t="str">
        <x:v>L055</x:v>
      </x:c>
      <x:c r="C60" s="8" t="str">
        <x:v>Arth Micro Finance Pvt. Ltd.</x:v>
      </x:c>
      <x:c r="D60" s="8" t="str">
        <x:v>Pramod Kumar Paliwal</x:v>
      </x:c>
      <x:c r="E60" s="8" t="str">
        <x:v>Chairman &amp; Managing Director</x:v>
      </x:c>
      <x:c r="F60" s="9" t="n">
        <x:f>SUM(M60:Q60)</x:f>
        <x:v>50</x:v>
      </x:c>
      <x:c r="G60" s="8" t="str">
        <x:v>unknown</x:v>
      </x:c>
      <x:c r="H60" s="8" t="str">
        <x:v>Research only</x:v>
      </x:c>
      <x:c r="I60" s="8" t="str">
        <x:v>https://arthfinance.com/team</x:v>
      </x:c>
      <x:c r="J60" s="8" t="str">
        <x:v>Not established</x:v>
      </x:c>
      <x:c r="K60" s="8" t="str">
        <x:v>Rajasthan</x:v>
      </x:c>
      <x:c r="L60" s="8" t="str">
        <x:v>Indian lending and microfinance operations</x:v>
      </x:c>
      <x:c r="M60" s="8" t="n">
        <x:v>15</x:v>
      </x:c>
      <x:c r="N60" s="8" t="n">
        <x:v>0</x:v>
      </x:c>
      <x:c r="O60" s="8" t="n">
        <x:v>20</x:v>
      </x:c>
      <x:c r="P60" s="8" t="n">
        <x:v>15</x:v>
      </x:c>
      <x:c r="Q60" s="8" t="n">
        <x:v>0</x:v>
      </x:c>
    </x:row>
    <x:row r="61" ht="44" customHeight="1">
      <x:c r="A61" s="3" t="n">
        <x:v>56</x:v>
      </x:c>
      <x:c r="B61" s="3" t="str">
        <x:v>L056</x:v>
      </x:c>
      <x:c r="C61" s="3" t="str">
        <x:v>Asirvad Microfinance Limited</x:v>
      </x:c>
      <x:c r="D61" s="3" t="str">
        <x:v>Roy Varghese</x:v>
      </x:c>
      <x:c r="E61" s="3" t="str">
        <x:v>CEO</x:v>
      </x:c>
      <x:c r="F61" s="10" t="n">
        <x:f>SUM(M61:Q61)</x:f>
        <x:v>50</x:v>
      </x:c>
      <x:c r="G61" s="3" t="str">
        <x:v>unknown</x:v>
      </x:c>
      <x:c r="H61" s="3" t="str">
        <x:v>Research only</x:v>
      </x:c>
      <x:c r="I61" s="3" t="str">
        <x:v>https://nationalconference2026.sa-dhan.net/</x:v>
      </x:c>
      <x:c r="J61" s="3" t="str">
        <x:v>Not established</x:v>
      </x:c>
      <x:c r="K61" s="3" t="str">
        <x:v>Kerala</x:v>
      </x:c>
      <x:c r="L61" s="3" t="str">
        <x:v>Indian lending and microfinance operations</x:v>
      </x:c>
      <x:c r="M61" s="3" t="n">
        <x:v>15</x:v>
      </x:c>
      <x:c r="N61" s="3" t="n">
        <x:v>0</x:v>
      </x:c>
      <x:c r="O61" s="3" t="n">
        <x:v>20</x:v>
      </x:c>
      <x:c r="P61" s="3" t="n">
        <x:v>15</x:v>
      </x:c>
      <x:c r="Q61" s="3" t="n">
        <x:v>0</x:v>
      </x:c>
    </x:row>
    <x:row r="62" ht="44" customHeight="1">
      <x:c r="A62" s="8" t="n">
        <x:v>57</x:v>
      </x:c>
      <x:c r="B62" s="8" t="str">
        <x:v>L057</x:v>
      </x:c>
      <x:c r="C62" s="8" t="str">
        <x:v>Bajaj Finance Limited</x:v>
      </x:c>
      <x:c r="D62" s="8" t="str">
        <x:v>Gunjan Grover</x:v>
      </x:c>
      <x:c r="E62" s="8" t="str">
        <x:v>Chief Operating Officer – Microfinance</x:v>
      </x:c>
      <x:c r="F62" s="9" t="n">
        <x:f>SUM(M62:Q62)</x:f>
        <x:v>50</x:v>
      </x:c>
      <x:c r="G62" s="8" t="str">
        <x:v>unknown</x:v>
      </x:c>
      <x:c r="H62" s="8" t="str">
        <x:v>Research only</x:v>
      </x:c>
      <x:c r="I62" s="8" t="str">
        <x:v>https://mfinindia.org/about/leadership</x:v>
      </x:c>
      <x:c r="J62" s="8" t="str">
        <x:v>Not established</x:v>
      </x:c>
      <x:c r="K62" s="8" t="str">
        <x:v>Not established</x:v>
      </x:c>
      <x:c r="L62" s="8" t="str">
        <x:v>Lending</x:v>
      </x:c>
      <x:c r="M62" s="8" t="n">
        <x:v>15</x:v>
      </x:c>
      <x:c r="N62" s="8" t="n">
        <x:v>0</x:v>
      </x:c>
      <x:c r="O62" s="8" t="n">
        <x:v>20</x:v>
      </x:c>
      <x:c r="P62" s="8" t="n">
        <x:v>15</x:v>
      </x:c>
      <x:c r="Q62" s="8" t="n">
        <x:v>0</x:v>
      </x:c>
    </x:row>
    <x:row r="63" ht="44" customHeight="1">
      <x:c r="A63" s="3" t="n">
        <x:v>58</x:v>
      </x:c>
      <x:c r="B63" s="3" t="str">
        <x:v>L058</x:v>
      </x:c>
      <x:c r="C63" s="3" t="str">
        <x:v>Belstar Microfinance Limited</x:v>
      </x:c>
      <x:c r="D63" s="3" t="str">
        <x:v>J. Balakrishnan</x:v>
      </x:c>
      <x:c r="E63" s="3" t="str">
        <x:v>Whole-time Director &amp; CEO</x:v>
      </x:c>
      <x:c r="F63" s="10" t="n">
        <x:f>SUM(M63:Q63)</x:f>
        <x:v>50</x:v>
      </x:c>
      <x:c r="G63" s="3" t="str">
        <x:v>unknown</x:v>
      </x:c>
      <x:c r="H63" s="3" t="str">
        <x:v>Research only</x:v>
      </x:c>
      <x:c r="I63" s="3" t="str">
        <x:v>https://nationalconference2026.sa-dhan.net/</x:v>
      </x:c>
      <x:c r="J63" s="3" t="str">
        <x:v>https://www.belstar.in</x:v>
      </x:c>
      <x:c r="K63" s="3" t="str">
        <x:v>Tamil Nadu</x:v>
      </x:c>
      <x:c r="L63" s="3" t="str">
        <x:v>Indian lending and microfinance operations</x:v>
      </x:c>
      <x:c r="M63" s="3" t="n">
        <x:v>15</x:v>
      </x:c>
      <x:c r="N63" s="3" t="n">
        <x:v>0</x:v>
      </x:c>
      <x:c r="O63" s="3" t="n">
        <x:v>20</x:v>
      </x:c>
      <x:c r="P63" s="3" t="n">
        <x:v>15</x:v>
      </x:c>
      <x:c r="Q63" s="3" t="n">
        <x:v>0</x:v>
      </x:c>
    </x:row>
    <x:row r="64" ht="44" customHeight="1">
      <x:c r="A64" s="8" t="n">
        <x:v>59</x:v>
      </x:c>
      <x:c r="B64" s="8" t="str">
        <x:v>L059</x:v>
      </x:c>
      <x:c r="C64" s="8" t="str">
        <x:v>Bharat Financial Inclusion Limited</x:v>
      </x:c>
      <x:c r="D64" s="8" t="str">
        <x:v>Tapobrat Chaudhari</x:v>
      </x:c>
      <x:c r="E64" s="8" t="str">
        <x:v>Managing Director &amp; CEO</x:v>
      </x:c>
      <x:c r="F64" s="9" t="n">
        <x:f>SUM(M64:Q64)</x:f>
        <x:v>50</x:v>
      </x:c>
      <x:c r="G64" s="8" t="str">
        <x:v>unknown</x:v>
      </x:c>
      <x:c r="H64" s="8" t="str">
        <x:v>Research only</x:v>
      </x:c>
      <x:c r="I64" s="8" t="str">
        <x:v>https://mfinindia.org/about/leadership</x:v>
      </x:c>
      <x:c r="J64" s="8" t="str">
        <x:v>Not established</x:v>
      </x:c>
      <x:c r="K64" s="8" t="str">
        <x:v>Not established</x:v>
      </x:c>
      <x:c r="L64" s="8" t="str">
        <x:v>Financial inclusion</x:v>
      </x:c>
      <x:c r="M64" s="8" t="n">
        <x:v>15</x:v>
      </x:c>
      <x:c r="N64" s="8" t="n">
        <x:v>0</x:v>
      </x:c>
      <x:c r="O64" s="8" t="n">
        <x:v>20</x:v>
      </x:c>
      <x:c r="P64" s="8" t="n">
        <x:v>15</x:v>
      </x:c>
      <x:c r="Q64" s="8" t="n">
        <x:v>0</x:v>
      </x:c>
    </x:row>
    <x:row r="65" ht="44" customHeight="1">
      <x:c r="A65" s="3" t="n">
        <x:v>60</x:v>
      </x:c>
      <x:c r="B65" s="3" t="str">
        <x:v>L060</x:v>
      </x:c>
      <x:c r="C65" s="3" t="str">
        <x:v>BSS Sonata Microcredit Limited</x:v>
      </x:c>
      <x:c r="D65" s="3" t="str">
        <x:v>Anup Kumar Singh</x:v>
      </x:c>
      <x:c r="E65" s="3" t="str">
        <x:v>Managing Director &amp; CEO</x:v>
      </x:c>
      <x:c r="F65" s="10" t="n">
        <x:f>SUM(M65:Q65)</x:f>
        <x:v>50</x:v>
      </x:c>
      <x:c r="G65" s="3" t="str">
        <x:v>unknown</x:v>
      </x:c>
      <x:c r="H65" s="3" t="str">
        <x:v>Research only</x:v>
      </x:c>
      <x:c r="I65" s="3" t="str">
        <x:v>https://mfinindia.org/about/leadership</x:v>
      </x:c>
      <x:c r="J65" s="3" t="str">
        <x:v>https://bsssonata.com</x:v>
      </x:c>
      <x:c r="K65" s="3" t="str">
        <x:v>Karnataka</x:v>
      </x:c>
      <x:c r="L65" s="3" t="str">
        <x:v>Indian lending and microfinance operations</x:v>
      </x:c>
      <x:c r="M65" s="3" t="n">
        <x:v>15</x:v>
      </x:c>
      <x:c r="N65" s="3" t="n">
        <x:v>0</x:v>
      </x:c>
      <x:c r="O65" s="3" t="n">
        <x:v>20</x:v>
      </x:c>
      <x:c r="P65" s="3" t="n">
        <x:v>15</x:v>
      </x:c>
      <x:c r="Q65" s="3" t="n">
        <x:v>0</x:v>
      </x:c>
    </x:row>
    <x:row r="66" ht="44" customHeight="1">
      <x:c r="A66" s="8" t="n">
        <x:v>61</x:v>
      </x:c>
      <x:c r="B66" s="8" t="str">
        <x:v>L061</x:v>
      </x:c>
      <x:c r="C66" s="8" t="str">
        <x:v>Cashpor Micro Credit</x:v>
      </x:c>
      <x:c r="D66" s="8" t="str">
        <x:v>Mukul Jaiswal</x:v>
      </x:c>
      <x:c r="E66" s="8" t="str">
        <x:v>Managing Director</x:v>
      </x:c>
      <x:c r="F66" s="9" t="n">
        <x:f>SUM(M66:Q66)</x:f>
        <x:v>50</x:v>
      </x:c>
      <x:c r="G66" s="8" t="str">
        <x:v>unknown</x:v>
      </x:c>
      <x:c r="H66" s="8" t="str">
        <x:v>Research only</x:v>
      </x:c>
      <x:c r="I66" s="8" t="str">
        <x:v>https://nationalconference2026.sa-dhan.net/</x:v>
      </x:c>
      <x:c r="J66" s="8" t="str">
        <x:v>Not established</x:v>
      </x:c>
      <x:c r="K66" s="8" t="str">
        <x:v>Uttar Pradesh</x:v>
      </x:c>
      <x:c r="L66" s="8" t="str">
        <x:v>Indian lending and microfinance operations</x:v>
      </x:c>
      <x:c r="M66" s="8" t="n">
        <x:v>15</x:v>
      </x:c>
      <x:c r="N66" s="8" t="n">
        <x:v>0</x:v>
      </x:c>
      <x:c r="O66" s="8" t="n">
        <x:v>20</x:v>
      </x:c>
      <x:c r="P66" s="8" t="n">
        <x:v>15</x:v>
      </x:c>
      <x:c r="Q66" s="8" t="n">
        <x:v>0</x:v>
      </x:c>
    </x:row>
    <x:row r="67" ht="44" customHeight="1">
      <x:c r="A67" s="3" t="n">
        <x:v>62</x:v>
      </x:c>
      <x:c r="B67" s="3" t="str">
        <x:v>L062</x:v>
      </x:c>
      <x:c r="C67" s="3" t="str">
        <x:v>Cholamandalam Investment and Finance Company Limited</x:v>
      </x:c>
      <x:c r="D67" s="3" t="str">
        <x:v>Ravindra Kumar Kundu</x:v>
      </x:c>
      <x:c r="E67" s="3" t="str">
        <x:v>Managing Director</x:v>
      </x:c>
      <x:c r="F67" s="10" t="n">
        <x:f>SUM(M67:Q67)</x:f>
        <x:v>50</x:v>
      </x:c>
      <x:c r="G67" s="3" t="str">
        <x:v>unknown</x:v>
      </x:c>
      <x:c r="H67" s="3" t="str">
        <x:v>Research only</x:v>
      </x:c>
      <x:c r="I67" s="3" t="str">
        <x:v>https://www.cholamandalam.com/about-us/board-directors</x:v>
      </x:c>
      <x:c r="J67" s="3" t="str">
        <x:v>https://www.cholamandalam.com</x:v>
      </x:c>
      <x:c r="K67" s="3" t="str">
        <x:v>Not established</x:v>
      </x:c>
      <x:c r="L67" s="3" t="str">
        <x:v>Lending</x:v>
      </x:c>
      <x:c r="M67" s="3" t="n">
        <x:v>15</x:v>
      </x:c>
      <x:c r="N67" s="3" t="n">
        <x:v>0</x:v>
      </x:c>
      <x:c r="O67" s="3" t="n">
        <x:v>20</x:v>
      </x:c>
      <x:c r="P67" s="3" t="n">
        <x:v>15</x:v>
      </x:c>
      <x:c r="Q67" s="3" t="n">
        <x:v>0</x:v>
      </x:c>
    </x:row>
    <x:row r="68" ht="44" customHeight="1">
      <x:c r="A68" s="8" t="n">
        <x:v>63</x:v>
      </x:c>
      <x:c r="B68" s="8" t="str">
        <x:v>L063</x:v>
      </x:c>
      <x:c r="C68" s="8" t="str">
        <x:v>Clix Capital</x:v>
      </x:c>
      <x:c r="D68" s="8" t="str">
        <x:v>Krishanu Ray</x:v>
      </x:c>
      <x:c r="E68" s="8" t="str">
        <x:v>Chief Technology Officer</x:v>
      </x:c>
      <x:c r="F68" s="9" t="n">
        <x:f>SUM(M68:Q68)</x:f>
        <x:v>50</x:v>
      </x:c>
      <x:c r="G68" s="8" t="str">
        <x:v>unknown</x:v>
      </x:c>
      <x:c r="H68" s="8" t="str">
        <x:v>Research only</x:v>
      </x:c>
      <x:c r="I68" s="8" t="str">
        <x:v>https://www.clix.capital/about/</x:v>
      </x:c>
      <x:c r="J68" s="8" t="str">
        <x:v>https://www.clix.capital</x:v>
      </x:c>
      <x:c r="K68" s="8" t="str">
        <x:v>Not established</x:v>
      </x:c>
      <x:c r="L68" s="8" t="str">
        <x:v>Lending</x:v>
      </x:c>
      <x:c r="M68" s="8" t="n">
        <x:v>15</x:v>
      </x:c>
      <x:c r="N68" s="8" t="n">
        <x:v>0</x:v>
      </x:c>
      <x:c r="O68" s="8" t="n">
        <x:v>20</x:v>
      </x:c>
      <x:c r="P68" s="8" t="n">
        <x:v>15</x:v>
      </x:c>
      <x:c r="Q68" s="8" t="n">
        <x:v>0</x:v>
      </x:c>
    </x:row>
    <x:row r="69" ht="44" customHeight="1">
      <x:c r="A69" s="3" t="n">
        <x:v>64</x:v>
      </x:c>
      <x:c r="B69" s="3" t="str">
        <x:v>L064</x:v>
      </x:c>
      <x:c r="C69" s="3" t="str">
        <x:v>CreditAccess Grameen Limited</x:v>
      </x:c>
      <x:c r="D69" s="3" t="str">
        <x:v>Ganesh Narayanan</x:v>
      </x:c>
      <x:c r="E69" s="3" t="str">
        <x:v>Managing Director &amp; CEO</x:v>
      </x:c>
      <x:c r="F69" s="10" t="n">
        <x:f>SUM(M69:Q69)</x:f>
        <x:v>50</x:v>
      </x:c>
      <x:c r="G69" s="3" t="str">
        <x:v>unknown</x:v>
      </x:c>
      <x:c r="H69" s="3" t="str">
        <x:v>Research only</x:v>
      </x:c>
      <x:c r="I69" s="3" t="str">
        <x:v>https://www.creditaccessgrameen.in/governance/management-team/</x:v>
      </x:c>
      <x:c r="J69" s="3" t="str">
        <x:v>https://www.creditaccessgrameen.in</x:v>
      </x:c>
      <x:c r="K69" s="3" t="str">
        <x:v>Not established</x:v>
      </x:c>
      <x:c r="L69" s="3" t="str">
        <x:v>Microfinance</x:v>
      </x:c>
      <x:c r="M69" s="3" t="n">
        <x:v>15</x:v>
      </x:c>
      <x:c r="N69" s="3" t="n">
        <x:v>0</x:v>
      </x:c>
      <x:c r="O69" s="3" t="n">
        <x:v>20</x:v>
      </x:c>
      <x:c r="P69" s="3" t="n">
        <x:v>15</x:v>
      </x:c>
      <x:c r="Q69" s="3" t="n">
        <x:v>0</x:v>
      </x:c>
    </x:row>
    <x:row r="70" ht="44" customHeight="1">
      <x:c r="A70" s="8" t="n">
        <x:v>65</x:v>
      </x:c>
      <x:c r="B70" s="8" t="str">
        <x:v>L065</x:v>
      </x:c>
      <x:c r="C70" s="8" t="str">
        <x:v>DJT Microfinance Pvt. Ltd.</x:v>
      </x:c>
      <x:c r="D70" s="8" t="str">
        <x:v>Avinash Kumar</x:v>
      </x:c>
      <x:c r="E70" s="8" t="str">
        <x:v>Executive Director &amp; COO</x:v>
      </x:c>
      <x:c r="F70" s="9" t="n">
        <x:f>SUM(M70:Q70)</x:f>
        <x:v>50</x:v>
      </x:c>
      <x:c r="G70" s="8" t="str">
        <x:v>unknown</x:v>
      </x:c>
      <x:c r="H70" s="8" t="str">
        <x:v>Research only</x:v>
      </x:c>
      <x:c r="I70" s="8" t="str">
        <x:v>https://mfinindia.org/about/leadership</x:v>
      </x:c>
      <x:c r="J70" s="8" t="str">
        <x:v>Not established</x:v>
      </x:c>
      <x:c r="K70" s="8" t="str">
        <x:v>Uttar Pradesh</x:v>
      </x:c>
      <x:c r="L70" s="8" t="str">
        <x:v>Indian lending and microfinance operations</x:v>
      </x:c>
      <x:c r="M70" s="8" t="n">
        <x:v>15</x:v>
      </x:c>
      <x:c r="N70" s="8" t="n">
        <x:v>0</x:v>
      </x:c>
      <x:c r="O70" s="8" t="n">
        <x:v>20</x:v>
      </x:c>
      <x:c r="P70" s="8" t="n">
        <x:v>15</x:v>
      </x:c>
      <x:c r="Q70" s="8" t="n">
        <x:v>0</x:v>
      </x:c>
    </x:row>
    <x:row r="71" ht="44" customHeight="1">
      <x:c r="A71" s="3" t="n">
        <x:v>66</x:v>
      </x:c>
      <x:c r="B71" s="3" t="str">
        <x:v>L066</x:v>
      </x:c>
      <x:c r="C71" s="3" t="str">
        <x:v>ESAF Small Finance Bank Limited</x:v>
      </x:c>
      <x:c r="D71" s="3" t="str">
        <x:v>K. Paul Thomas</x:v>
      </x:c>
      <x:c r="E71" s="3" t="str">
        <x:v>Managing Director &amp; CEO</x:v>
      </x:c>
      <x:c r="F71" s="10" t="n">
        <x:f>SUM(M71:Q71)</x:f>
        <x:v>50</x:v>
      </x:c>
      <x:c r="G71" s="3" t="str">
        <x:v>unknown</x:v>
      </x:c>
      <x:c r="H71" s="3" t="str">
        <x:v>Research only</x:v>
      </x:c>
      <x:c r="I71" s="3" t="str">
        <x:v>https://nationalconference2026.sa-dhan.net/</x:v>
      </x:c>
      <x:c r="J71" s="3" t="str">
        <x:v>Not established</x:v>
      </x:c>
      <x:c r="K71" s="3" t="str">
        <x:v>Not established</x:v>
      </x:c>
      <x:c r="L71" s="3" t="str">
        <x:v>Small finance bank</x:v>
      </x:c>
      <x:c r="M71" s="3" t="n">
        <x:v>15</x:v>
      </x:c>
      <x:c r="N71" s="3" t="n">
        <x:v>0</x:v>
      </x:c>
      <x:c r="O71" s="3" t="n">
        <x:v>20</x:v>
      </x:c>
      <x:c r="P71" s="3" t="n">
        <x:v>15</x:v>
      </x:c>
      <x:c r="Q71" s="3" t="n">
        <x:v>0</x:v>
      </x:c>
    </x:row>
    <x:row r="72" ht="44" customHeight="1">
      <x:c r="A72" s="8" t="n">
        <x:v>67</x:v>
      </x:c>
      <x:c r="B72" s="8" t="str">
        <x:v>L067</x:v>
      </x:c>
      <x:c r="C72" s="8" t="str">
        <x:v>Five-Star Business Finance Limited</x:v>
      </x:c>
      <x:c r="D72" s="8" t="str">
        <x:v>Lakshmipathy Deenadayalan</x:v>
      </x:c>
      <x:c r="E72" s="8" t="str">
        <x:v>Chairman &amp; Managing Director</x:v>
      </x:c>
      <x:c r="F72" s="9" t="n">
        <x:f>SUM(M72:Q72)</x:f>
        <x:v>50</x:v>
      </x:c>
      <x:c r="G72" s="8" t="str">
        <x:v>unknown</x:v>
      </x:c>
      <x:c r="H72" s="8" t="str">
        <x:v>Research only</x:v>
      </x:c>
      <x:c r="I72" s="8" t="str">
        <x:v>https://fivestargroup.in/management-team/</x:v>
      </x:c>
      <x:c r="J72" s="8" t="str">
        <x:v>https://fivestargroup.in</x:v>
      </x:c>
      <x:c r="K72" s="8" t="str">
        <x:v>Not established</x:v>
      </x:c>
      <x:c r="L72" s="8" t="str">
        <x:v>Lending</x:v>
      </x:c>
      <x:c r="M72" s="8" t="n">
        <x:v>15</x:v>
      </x:c>
      <x:c r="N72" s="8" t="n">
        <x:v>0</x:v>
      </x:c>
      <x:c r="O72" s="8" t="n">
        <x:v>20</x:v>
      </x:c>
      <x:c r="P72" s="8" t="n">
        <x:v>15</x:v>
      </x:c>
      <x:c r="Q72" s="8" t="n">
        <x:v>0</x:v>
      </x:c>
    </x:row>
    <x:row r="73" ht="44" customHeight="1">
      <x:c r="A73" s="3" t="n">
        <x:v>68</x:v>
      </x:c>
      <x:c r="B73" s="3" t="str">
        <x:v>L068</x:v>
      </x:c>
      <x:c r="C73" s="3" t="str">
        <x:v>FlexiLoans / Epimoney Private Limited</x:v>
      </x:c>
      <x:c r="D73" s="3" t="str">
        <x:v>Deepak Jain</x:v>
      </x:c>
      <x:c r="E73" s="3" t="str">
        <x:v>CEO &amp; Co-Founder</x:v>
      </x:c>
      <x:c r="F73" s="10" t="n">
        <x:f>SUM(M73:Q73)</x:f>
        <x:v>50</x:v>
      </x:c>
      <x:c r="G73" s="3" t="str">
        <x:v>unknown</x:v>
      </x:c>
      <x:c r="H73" s="3" t="str">
        <x:v>Research only</x:v>
      </x:c>
      <x:c r="I73" s="3" t="str">
        <x:v>https://flexiloans.com/loan/team</x:v>
      </x:c>
      <x:c r="J73" s="3" t="str">
        <x:v>https://flexiloans.com</x:v>
      </x:c>
      <x:c r="K73" s="3" t="str">
        <x:v>Not established</x:v>
      </x:c>
      <x:c r="L73" s="3" t="str">
        <x:v>MSME lending</x:v>
      </x:c>
      <x:c r="M73" s="3" t="n">
        <x:v>15</x:v>
      </x:c>
      <x:c r="N73" s="3" t="n">
        <x:v>0</x:v>
      </x:c>
      <x:c r="O73" s="3" t="n">
        <x:v>20</x:v>
      </x:c>
      <x:c r="P73" s="3" t="n">
        <x:v>15</x:v>
      </x:c>
      <x:c r="Q73" s="3" t="n">
        <x:v>0</x:v>
      </x:c>
    </x:row>
    <x:row r="74" ht="44" customHeight="1">
      <x:c r="A74" s="8" t="n">
        <x:v>69</x:v>
      </x:c>
      <x:c r="B74" s="8" t="str">
        <x:v>L069</x:v>
      </x:c>
      <x:c r="C74" s="8" t="str">
        <x:v>Fusion Finance Limited</x:v>
      </x:c>
      <x:c r="D74" s="8" t="str">
        <x:v>Sunil Mundra</x:v>
      </x:c>
      <x:c r="E74" s="8" t="str">
        <x:v>Chief Operating Officer – MFI</x:v>
      </x:c>
      <x:c r="F74" s="9" t="n">
        <x:f>SUM(M74:Q74)</x:f>
        <x:v>50</x:v>
      </x:c>
      <x:c r="G74" s="8" t="str">
        <x:v>unknown</x:v>
      </x:c>
      <x:c r="H74" s="8" t="str">
        <x:v>Research only</x:v>
      </x:c>
      <x:c r="I74" s="8" t="str">
        <x:v>https://fusionfin.com/management-team/</x:v>
      </x:c>
      <x:c r="J74" s="8" t="str">
        <x:v>https://fusionfin.com</x:v>
      </x:c>
      <x:c r="K74" s="8" t="str">
        <x:v>Not established</x:v>
      </x:c>
      <x:c r="L74" s="8" t="str">
        <x:v>Microfinance</x:v>
      </x:c>
      <x:c r="M74" s="8" t="n">
        <x:v>15</x:v>
      </x:c>
      <x:c r="N74" s="8" t="n">
        <x:v>0</x:v>
      </x:c>
      <x:c r="O74" s="8" t="n">
        <x:v>20</x:v>
      </x:c>
      <x:c r="P74" s="8" t="n">
        <x:v>15</x:v>
      </x:c>
      <x:c r="Q74" s="8" t="n">
        <x:v>0</x:v>
      </x:c>
    </x:row>
    <x:row r="75" ht="44" customHeight="1">
      <x:c r="A75" s="3" t="n">
        <x:v>70</x:v>
      </x:c>
      <x:c r="B75" s="3" t="str">
        <x:v>L070</x:v>
      </x:c>
      <x:c r="C75" s="3" t="str">
        <x:v>Hindusthan Microfinance Pvt Ltd</x:v>
      </x:c>
      <x:c r="D75" s="3" t="str">
        <x:v>Anil Jadhav</x:v>
      </x:c>
      <x:c r="E75" s="3" t="str">
        <x:v>Chairman &amp; Managing Director</x:v>
      </x:c>
      <x:c r="F75" s="10" t="n">
        <x:f>SUM(M75:Q75)</x:f>
        <x:v>50</x:v>
      </x:c>
      <x:c r="G75" s="3" t="str">
        <x:v>unknown</x:v>
      </x:c>
      <x:c r="H75" s="3" t="str">
        <x:v>Research only</x:v>
      </x:c>
      <x:c r="I75" s="3" t="str">
        <x:v>https://www.hindusthanmfi.com/Directors</x:v>
      </x:c>
      <x:c r="J75" s="3" t="str">
        <x:v>https://www.hindusthanmfi.com</x:v>
      </x:c>
      <x:c r="K75" s="3" t="str">
        <x:v>Maharashtra</x:v>
      </x:c>
      <x:c r="L75" s="3" t="str">
        <x:v>Indian lending and microfinance operations</x:v>
      </x:c>
      <x:c r="M75" s="3" t="n">
        <x:v>15</x:v>
      </x:c>
      <x:c r="N75" s="3" t="n">
        <x:v>0</x:v>
      </x:c>
      <x:c r="O75" s="3" t="n">
        <x:v>20</x:v>
      </x:c>
      <x:c r="P75" s="3" t="n">
        <x:v>15</x:v>
      </x:c>
      <x:c r="Q75" s="3" t="n">
        <x:v>0</x:v>
      </x:c>
    </x:row>
    <x:row r="76" ht="44" customHeight="1">
      <x:c r="A76" s="8" t="n">
        <x:v>71</x:v>
      </x:c>
      <x:c r="B76" s="8" t="str">
        <x:v>L071</x:v>
      </x:c>
      <x:c r="C76" s="8" t="str">
        <x:v>IDFC FIRST Bank Limited</x:v>
      </x:c>
      <x:c r="D76" s="8" t="str">
        <x:v>V. Vaidyanathan</x:v>
      </x:c>
      <x:c r="E76" s="8" t="str">
        <x:v>Managing Director &amp; CEO</x:v>
      </x:c>
      <x:c r="F76" s="9" t="n">
        <x:f>SUM(M76:Q76)</x:f>
        <x:v>50</x:v>
      </x:c>
      <x:c r="G76" s="8" t="str">
        <x:v>unknown</x:v>
      </x:c>
      <x:c r="H76" s="8" t="str">
        <x:v>Research only</x:v>
      </x:c>
      <x:c r="I76" s="8" t="str">
        <x:v>https://nationalconference2026.sa-dhan.net/</x:v>
      </x:c>
      <x:c r="J76" s="8" t="str">
        <x:v>Not established</x:v>
      </x:c>
      <x:c r="K76" s="8" t="str">
        <x:v>Not established</x:v>
      </x:c>
      <x:c r="L76" s="8" t="str">
        <x:v>Banking</x:v>
      </x:c>
      <x:c r="M76" s="8" t="n">
        <x:v>15</x:v>
      </x:c>
      <x:c r="N76" s="8" t="n">
        <x:v>0</x:v>
      </x:c>
      <x:c r="O76" s="8" t="n">
        <x:v>20</x:v>
      </x:c>
      <x:c r="P76" s="8" t="n">
        <x:v>15</x:v>
      </x:c>
      <x:c r="Q76" s="8" t="n">
        <x:v>0</x:v>
      </x:c>
    </x:row>
    <x:row r="77" ht="44" customHeight="1">
      <x:c r="A77" s="3" t="n">
        <x:v>72</x:v>
      </x:c>
      <x:c r="B77" s="3" t="str">
        <x:v>L072</x:v>
      </x:c>
      <x:c r="C77" s="3" t="str">
        <x:v>Jana Small Finance Bank Limited</x:v>
      </x:c>
      <x:c r="D77" s="3" t="str">
        <x:v>Ashish Gopal Saxena</x:v>
      </x:c>
      <x:c r="E77" s="3" t="str">
        <x:v>Chief Information &amp; Digital Officer</x:v>
      </x:c>
      <x:c r="F77" s="10" t="n">
        <x:f>SUM(M77:Q77)</x:f>
        <x:v>50</x:v>
      </x:c>
      <x:c r="G77" s="3" t="str">
        <x:v>unknown</x:v>
      </x:c>
      <x:c r="H77" s="3" t="str">
        <x:v>Research only</x:v>
      </x:c>
      <x:c r="I77" s="3" t="str">
        <x:v>https://www.jana.bank.in/about-us/leadership-governance/management-team/</x:v>
      </x:c>
      <x:c r="J77" s="3" t="str">
        <x:v>https://www.jana.bank.in</x:v>
      </x:c>
      <x:c r="K77" s="3" t="str">
        <x:v>Not established</x:v>
      </x:c>
      <x:c r="L77" s="3" t="str">
        <x:v>Small finance bank</x:v>
      </x:c>
      <x:c r="M77" s="3" t="n">
        <x:v>15</x:v>
      </x:c>
      <x:c r="N77" s="3" t="n">
        <x:v>0</x:v>
      </x:c>
      <x:c r="O77" s="3" t="n">
        <x:v>20</x:v>
      </x:c>
      <x:c r="P77" s="3" t="n">
        <x:v>15</x:v>
      </x:c>
      <x:c r="Q77" s="3" t="n">
        <x:v>0</x:v>
      </x:c>
    </x:row>
    <x:row r="78" ht="44" customHeight="1">
      <x:c r="A78" s="8" t="n">
        <x:v>73</x:v>
      </x:c>
      <x:c r="B78" s="8" t="str">
        <x:v>L073</x:v>
      </x:c>
      <x:c r="C78" s="8" t="str">
        <x:v>JMJ Microfin Private Limited</x:v>
      </x:c>
      <x:c r="D78" s="8" t="str">
        <x:v>Joju Madathumpady Johny</x:v>
      </x:c>
      <x:c r="E78" s="8" t="str">
        <x:v>Director</x:v>
      </x:c>
      <x:c r="F78" s="9" t="n">
        <x:f>SUM(M78:Q78)</x:f>
        <x:v>50</x:v>
      </x:c>
      <x:c r="G78" s="8" t="str">
        <x:v>unknown</x:v>
      </x:c>
      <x:c r="H78" s="8" t="str">
        <x:v>Research only</x:v>
      </x:c>
      <x:c r="I78" s="8" t="str">
        <x:v>https://palmamicrofin.com/</x:v>
      </x:c>
      <x:c r="J78" s="8" t="str">
        <x:v>https://jmjmicrofin.com</x:v>
      </x:c>
      <x:c r="K78" s="8" t="str">
        <x:v>Kerala</x:v>
      </x:c>
      <x:c r="L78" s="8" t="str">
        <x:v>Indian lending and microfinance operations</x:v>
      </x:c>
      <x:c r="M78" s="8" t="n">
        <x:v>15</x:v>
      </x:c>
      <x:c r="N78" s="8" t="n">
        <x:v>0</x:v>
      </x:c>
      <x:c r="O78" s="8" t="n">
        <x:v>20</x:v>
      </x:c>
      <x:c r="P78" s="8" t="n">
        <x:v>15</x:v>
      </x:c>
      <x:c r="Q78" s="8" t="n">
        <x:v>0</x:v>
      </x:c>
    </x:row>
    <x:row r="79" ht="44" customHeight="1">
      <x:c r="A79" s="3" t="n">
        <x:v>74</x:v>
      </x:c>
      <x:c r="B79" s="3" t="str">
        <x:v>L074</x:v>
      </x:c>
      <x:c r="C79" s="3" t="str">
        <x:v>Kinara Capital</x:v>
      </x:c>
      <x:c r="D79" s="3" t="str">
        <x:v>Hardika Shah</x:v>
      </x:c>
      <x:c r="E79" s="3" t="str">
        <x:v>Founder &amp; CEO</x:v>
      </x:c>
      <x:c r="F79" s="10" t="n">
        <x:f>SUM(M79:Q79)</x:f>
        <x:v>50</x:v>
      </x:c>
      <x:c r="G79" s="3" t="str">
        <x:v>unknown</x:v>
      </x:c>
      <x:c r="H79" s="3" t="str">
        <x:v>Research only</x:v>
      </x:c>
      <x:c r="I79" s="3" t="str">
        <x:v>https://kinaracapital.com/teams/hardika-shah/</x:v>
      </x:c>
      <x:c r="J79" s="3" t="str">
        <x:v>https://kinaracapital.com</x:v>
      </x:c>
      <x:c r="K79" s="3" t="str">
        <x:v>Not established</x:v>
      </x:c>
      <x:c r="L79" s="3" t="str">
        <x:v>MSME lending</x:v>
      </x:c>
      <x:c r="M79" s="3" t="n">
        <x:v>15</x:v>
      </x:c>
      <x:c r="N79" s="3" t="n">
        <x:v>0</x:v>
      </x:c>
      <x:c r="O79" s="3" t="n">
        <x:v>20</x:v>
      </x:c>
      <x:c r="P79" s="3" t="n">
        <x:v>15</x:v>
      </x:c>
      <x:c r="Q79" s="3" t="n">
        <x:v>0</x:v>
      </x:c>
    </x:row>
    <x:row r="80" ht="44" customHeight="1">
      <x:c r="A80" s="8" t="n">
        <x:v>75</x:v>
      </x:c>
      <x:c r="B80" s="8" t="str">
        <x:v>L075</x:v>
      </x:c>
      <x:c r="C80" s="8" t="str">
        <x:v>L&amp;T Finance Limited</x:v>
      </x:c>
      <x:c r="D80" s="8" t="str">
        <x:v>Sudipta Roy</x:v>
      </x:c>
      <x:c r="E80" s="8" t="str">
        <x:v>Managing Director &amp; CEO</x:v>
      </x:c>
      <x:c r="F80" s="9" t="n">
        <x:f>SUM(M80:Q80)</x:f>
        <x:v>50</x:v>
      </x:c>
      <x:c r="G80" s="8" t="str">
        <x:v>unknown</x:v>
      </x:c>
      <x:c r="H80" s="8" t="str">
        <x:v>Research only</x:v>
      </x:c>
      <x:c r="I80" s="8" t="str">
        <x:v>https://mfinindia.org/about/leadership</x:v>
      </x:c>
      <x:c r="J80" s="8" t="str">
        <x:v>Not established</x:v>
      </x:c>
      <x:c r="K80" s="8" t="str">
        <x:v>Not established</x:v>
      </x:c>
      <x:c r="L80" s="8" t="str">
        <x:v>Lending</x:v>
      </x:c>
      <x:c r="M80" s="8" t="n">
        <x:v>15</x:v>
      </x:c>
      <x:c r="N80" s="8" t="n">
        <x:v>0</x:v>
      </x:c>
      <x:c r="O80" s="8" t="n">
        <x:v>20</x:v>
      </x:c>
      <x:c r="P80" s="8" t="n">
        <x:v>15</x:v>
      </x:c>
      <x:c r="Q80" s="8" t="n">
        <x:v>0</x:v>
      </x:c>
    </x:row>
    <x:row r="81" ht="44" customHeight="1">
      <x:c r="A81" s="3" t="n">
        <x:v>76</x:v>
      </x:c>
      <x:c r="B81" s="3" t="str">
        <x:v>L076</x:v>
      </x:c>
      <x:c r="C81" s="3" t="str">
        <x:v>Lendingkart</x:v>
      </x:c>
      <x:c r="D81" s="3" t="str">
        <x:v>Prashant Prakash Joshi</x:v>
      </x:c>
      <x:c r="E81" s="3" t="str">
        <x:v>Managing Director &amp; CEO</x:v>
      </x:c>
      <x:c r="F81" s="10" t="n">
        <x:f>SUM(M81:Q81)</x:f>
        <x:v>50</x:v>
      </x:c>
      <x:c r="G81" s="3" t="str">
        <x:v>unknown</x:v>
      </x:c>
      <x:c r="H81" s="3" t="str">
        <x:v>Research only</x:v>
      </x:c>
      <x:c r="I81" s="3" t="str">
        <x:v>https://www.lendingkart.com/blog/management-team/prashant-prakash-joshi/</x:v>
      </x:c>
      <x:c r="J81" s="3" t="str">
        <x:v>https://www.lendingkart.com</x:v>
      </x:c>
      <x:c r="K81" s="3" t="str">
        <x:v>Not established</x:v>
      </x:c>
      <x:c r="L81" s="3" t="str">
        <x:v>MSME lending</x:v>
      </x:c>
      <x:c r="M81" s="3" t="n">
        <x:v>15</x:v>
      </x:c>
      <x:c r="N81" s="3" t="n">
        <x:v>0</x:v>
      </x:c>
      <x:c r="O81" s="3" t="n">
        <x:v>20</x:v>
      </x:c>
      <x:c r="P81" s="3" t="n">
        <x:v>15</x:v>
      </x:c>
      <x:c r="Q81" s="3" t="n">
        <x:v>0</x:v>
      </x:c>
    </x:row>
    <x:row r="82" ht="44" customHeight="1">
      <x:c r="A82" s="8" t="n">
        <x:v>77</x:v>
      </x:c>
      <x:c r="B82" s="8" t="str">
        <x:v>L077</x:v>
      </x:c>
      <x:c r="C82" s="8" t="str">
        <x:v>M Power Microfinance Private Limited</x:v>
      </x:c>
      <x:c r="D82" s="8" t="str">
        <x:v>K. V. Balaji</x:v>
      </x:c>
      <x:c r="E82" s="8" t="str">
        <x:v>Managing Director &amp; CEO</x:v>
      </x:c>
      <x:c r="F82" s="9" t="n">
        <x:f>SUM(M82:Q82)</x:f>
        <x:v>50</x:v>
      </x:c>
      <x:c r="G82" s="8" t="str">
        <x:v>unknown</x:v>
      </x:c>
      <x:c r="H82" s="8" t="str">
        <x:v>Research only</x:v>
      </x:c>
      <x:c r="I82" s="8" t="str">
        <x:v>https://mfinindia.org/about/leadership</x:v>
      </x:c>
      <x:c r="J82" s="8" t="str">
        <x:v>Not established</x:v>
      </x:c>
      <x:c r="K82" s="8" t="str">
        <x:v>Not established</x:v>
      </x:c>
      <x:c r="L82" s="8" t="str">
        <x:v>Microfinance</x:v>
      </x:c>
      <x:c r="M82" s="8" t="n">
        <x:v>15</x:v>
      </x:c>
      <x:c r="N82" s="8" t="n">
        <x:v>0</x:v>
      </x:c>
      <x:c r="O82" s="8" t="n">
        <x:v>20</x:v>
      </x:c>
      <x:c r="P82" s="8" t="n">
        <x:v>15</x:v>
      </x:c>
      <x:c r="Q82" s="8" t="n">
        <x:v>0</x:v>
      </x:c>
    </x:row>
    <x:row r="83" ht="44" customHeight="1">
      <x:c r="A83" s="3" t="n">
        <x:v>78</x:v>
      </x:c>
      <x:c r="B83" s="3" t="str">
        <x:v>L078</x:v>
      </x:c>
      <x:c r="C83" s="3" t="str">
        <x:v>NABFINS Limited</x:v>
      </x:c>
      <x:c r="D83" s="3" t="str">
        <x:v>Haragopal Yandra</x:v>
      </x:c>
      <x:c r="E83" s="3" t="str">
        <x:v>Managing Director</x:v>
      </x:c>
      <x:c r="F83" s="10" t="n">
        <x:f>SUM(M83:Q83)</x:f>
        <x:v>50</x:v>
      </x:c>
      <x:c r="G83" s="3" t="str">
        <x:v>unknown</x:v>
      </x:c>
      <x:c r="H83" s="3" t="str">
        <x:v>Research only</x:v>
      </x:c>
      <x:c r="I83" s="3" t="str">
        <x:v>https://nabfins.org/boardofdirectors/</x:v>
      </x:c>
      <x:c r="J83" s="3" t="str">
        <x:v>https://nabfins.org</x:v>
      </x:c>
      <x:c r="K83" s="3" t="str">
        <x:v>Karnataka</x:v>
      </x:c>
      <x:c r="L83" s="3" t="str">
        <x:v>Indian lending and microfinance operations</x:v>
      </x:c>
      <x:c r="M83" s="3" t="n">
        <x:v>15</x:v>
      </x:c>
      <x:c r="N83" s="3" t="n">
        <x:v>0</x:v>
      </x:c>
      <x:c r="O83" s="3" t="n">
        <x:v>20</x:v>
      </x:c>
      <x:c r="P83" s="3" t="n">
        <x:v>15</x:v>
      </x:c>
      <x:c r="Q83" s="3" t="n">
        <x:v>0</x:v>
      </x:c>
    </x:row>
    <x:row r="84" ht="44" customHeight="1">
      <x:c r="A84" s="8" t="n">
        <x:v>79</x:v>
      </x:c>
      <x:c r="B84" s="8" t="str">
        <x:v>L079</x:v>
      </x:c>
      <x:c r="C84" s="8" t="str">
        <x:v>Orange Retail Finance India Private Limited</x:v>
      </x:c>
      <x:c r="D84" s="8" t="str">
        <x:v>Ebenezer Daniel</x:v>
      </x:c>
      <x:c r="E84" s="8" t="str">
        <x:v>Founder, Managing Director &amp; CEO</x:v>
      </x:c>
      <x:c r="F84" s="9" t="n">
        <x:f>SUM(M84:Q84)</x:f>
        <x:v>50</x:v>
      </x:c>
      <x:c r="G84" s="8" t="str">
        <x:v>unknown</x:v>
      </x:c>
      <x:c r="H84" s="8" t="str">
        <x:v>Research only</x:v>
      </x:c>
      <x:c r="I84" s="8" t="str">
        <x:v>https://services.orangeretailfinance.com/board-of-directors</x:v>
      </x:c>
      <x:c r="J84" s="8" t="str">
        <x:v>https://services.orangeretailfinance.com</x:v>
      </x:c>
      <x:c r="K84" s="8" t="str">
        <x:v>Tamil Nadu</x:v>
      </x:c>
      <x:c r="L84" s="8" t="str">
        <x:v>Indian lending and microfinance operations</x:v>
      </x:c>
      <x:c r="M84" s="8" t="n">
        <x:v>15</x:v>
      </x:c>
      <x:c r="N84" s="8" t="n">
        <x:v>0</x:v>
      </x:c>
      <x:c r="O84" s="8" t="n">
        <x:v>20</x:v>
      </x:c>
      <x:c r="P84" s="8" t="n">
        <x:v>15</x:v>
      </x:c>
      <x:c r="Q84" s="8" t="n">
        <x:v>0</x:v>
      </x:c>
    </x:row>
    <x:row r="85" ht="44" customHeight="1">
      <x:c r="A85" s="3" t="n">
        <x:v>80</x:v>
      </x:c>
      <x:c r="B85" s="3" t="str">
        <x:v>L080</x:v>
      </x:c>
      <x:c r="C85" s="3" t="str">
        <x:v>Piramal Finance Limited</x:v>
      </x:c>
      <x:c r="D85" s="3" t="str">
        <x:v>Vikas Arora</x:v>
      </x:c>
      <x:c r="E85" s="3" t="str">
        <x:v>Chief Operating Officer</x:v>
      </x:c>
      <x:c r="F85" s="10" t="n">
        <x:f>SUM(M85:Q85)</x:f>
        <x:v>50</x:v>
      </x:c>
      <x:c r="G85" s="3" t="str">
        <x:v>unknown</x:v>
      </x:c>
      <x:c r="H85" s="3" t="str">
        <x:v>Research only</x:v>
      </x:c>
      <x:c r="I85" s="3" t="str">
        <x:v>https://mfinindia.org/about/leadership</x:v>
      </x:c>
      <x:c r="J85" s="3" t="str">
        <x:v>Not established</x:v>
      </x:c>
      <x:c r="K85" s="3" t="str">
        <x:v>Not established</x:v>
      </x:c>
      <x:c r="L85" s="3" t="str">
        <x:v>Lending</x:v>
      </x:c>
      <x:c r="M85" s="3" t="n">
        <x:v>15</x:v>
      </x:c>
      <x:c r="N85" s="3" t="n">
        <x:v>0</x:v>
      </x:c>
      <x:c r="O85" s="3" t="n">
        <x:v>20</x:v>
      </x:c>
      <x:c r="P85" s="3" t="n">
        <x:v>15</x:v>
      </x:c>
      <x:c r="Q85" s="3" t="n">
        <x:v>0</x:v>
      </x:c>
    </x:row>
    <x:row r="86" ht="44" customHeight="1">
      <x:c r="A86" s="8" t="n">
        <x:v>81</x:v>
      </x:c>
      <x:c r="B86" s="8" t="str">
        <x:v>L081</x:v>
      </x:c>
      <x:c r="C86" s="8" t="str">
        <x:v>Pragati Finserv</x:v>
      </x:c>
      <x:c r="D86" s="8" t="str">
        <x:v>Jagadish Babu Ramadugu</x:v>
      </x:c>
      <x:c r="E86" s="8" t="str">
        <x:v>Managing Director &amp; CEO</x:v>
      </x:c>
      <x:c r="F86" s="9" t="n">
        <x:f>SUM(M86:Q86)</x:f>
        <x:v>50</x:v>
      </x:c>
      <x:c r="G86" s="8" t="str">
        <x:v>unknown</x:v>
      </x:c>
      <x:c r="H86" s="8" t="str">
        <x:v>Research only</x:v>
      </x:c>
      <x:c r="I86" s="8" t="str">
        <x:v>https://nationalconference2026.sa-dhan.net/</x:v>
      </x:c>
      <x:c r="J86" s="8" t="str">
        <x:v>Not established</x:v>
      </x:c>
      <x:c r="K86" s="8" t="str">
        <x:v>Not established</x:v>
      </x:c>
      <x:c r="L86" s="8" t="str">
        <x:v>Financial inclusion</x:v>
      </x:c>
      <x:c r="M86" s="8" t="n">
        <x:v>15</x:v>
      </x:c>
      <x:c r="N86" s="8" t="n">
        <x:v>0</x:v>
      </x:c>
      <x:c r="O86" s="8" t="n">
        <x:v>20</x:v>
      </x:c>
      <x:c r="P86" s="8" t="n">
        <x:v>15</x:v>
      </x:c>
      <x:c r="Q86" s="8" t="n">
        <x:v>0</x:v>
      </x:c>
    </x:row>
    <x:row r="87" ht="44" customHeight="1">
      <x:c r="A87" s="3" t="n">
        <x:v>82</x:v>
      </x:c>
      <x:c r="B87" s="3" t="str">
        <x:v>L082</x:v>
      </x:c>
      <x:c r="C87" s="3" t="str">
        <x:v>Prayas Financial Services Pvt. Ltd.</x:v>
      </x:c>
      <x:c r="D87" s="3" t="str">
        <x:v>Abhisek Khanna</x:v>
      </x:c>
      <x:c r="E87" s="3" t="str">
        <x:v>Managing Director &amp; CEO</x:v>
      </x:c>
      <x:c r="F87" s="10" t="n">
        <x:f>SUM(M87:Q87)</x:f>
        <x:v>50</x:v>
      </x:c>
      <x:c r="G87" s="3" t="str">
        <x:v>unknown</x:v>
      </x:c>
      <x:c r="H87" s="3" t="str">
        <x:v>Research only</x:v>
      </x:c>
      <x:c r="I87" s="3" t="str">
        <x:v>https://prayasfinance.com/</x:v>
      </x:c>
      <x:c r="J87" s="3" t="str">
        <x:v>https://prayasfinance.com</x:v>
      </x:c>
      <x:c r="K87" s="3" t="str">
        <x:v>Haryana</x:v>
      </x:c>
      <x:c r="L87" s="3" t="str">
        <x:v>Indian lending and microfinance operations</x:v>
      </x:c>
      <x:c r="M87" s="3" t="n">
        <x:v>15</x:v>
      </x:c>
      <x:c r="N87" s="3" t="n">
        <x:v>0</x:v>
      </x:c>
      <x:c r="O87" s="3" t="n">
        <x:v>20</x:v>
      </x:c>
      <x:c r="P87" s="3" t="n">
        <x:v>15</x:v>
      </x:c>
      <x:c r="Q87" s="3" t="n">
        <x:v>0</x:v>
      </x:c>
    </x:row>
    <x:row r="88" ht="44" customHeight="1">
      <x:c r="A88" s="8" t="n">
        <x:v>83</x:v>
      </x:c>
      <x:c r="B88" s="8" t="str">
        <x:v>L083</x:v>
      </x:c>
      <x:c r="C88" s="8" t="str">
        <x:v>REPCO Microfinance Ltd.</x:v>
      </x:c>
      <x:c r="D88" s="8" t="str">
        <x:v>A. G. Venkatachalam</x:v>
      </x:c>
      <x:c r="E88" s="8" t="str">
        <x:v>Managing Director &amp; CEO</x:v>
      </x:c>
      <x:c r="F88" s="9" t="n">
        <x:f>SUM(M88:Q88)</x:f>
        <x:v>50</x:v>
      </x:c>
      <x:c r="G88" s="8" t="str">
        <x:v>unknown</x:v>
      </x:c>
      <x:c r="H88" s="8" t="str">
        <x:v>Research only</x:v>
      </x:c>
      <x:c r="I88" s="8" t="str">
        <x:v>https://repcomicrofin.co.in/board-of-directors.html</x:v>
      </x:c>
      <x:c r="J88" s="8" t="str">
        <x:v>https://repcomicrofin.co.in</x:v>
      </x:c>
      <x:c r="K88" s="8" t="str">
        <x:v>Tamil Nadu</x:v>
      </x:c>
      <x:c r="L88" s="8" t="str">
        <x:v>Indian lending and microfinance operations</x:v>
      </x:c>
      <x:c r="M88" s="8" t="n">
        <x:v>15</x:v>
      </x:c>
      <x:c r="N88" s="8" t="n">
        <x:v>0</x:v>
      </x:c>
      <x:c r="O88" s="8" t="n">
        <x:v>20</x:v>
      </x:c>
      <x:c r="P88" s="8" t="n">
        <x:v>15</x:v>
      </x:c>
      <x:c r="Q88" s="8" t="n">
        <x:v>0</x:v>
      </x:c>
    </x:row>
    <x:row r="89" ht="44" customHeight="1">
      <x:c r="A89" s="3" t="n">
        <x:v>84</x:v>
      </x:c>
      <x:c r="B89" s="3" t="str">
        <x:v>L084</x:v>
      </x:c>
      <x:c r="C89" s="3" t="str">
        <x:v>Servitium Micro Finance Private Limited</x:v>
      </x:c>
      <x:c r="D89" s="3" t="str">
        <x:v>Subrata Ghosh</x:v>
      </x:c>
      <x:c r="E89" s="3" t="str">
        <x:v>Managing Director</x:v>
      </x:c>
      <x:c r="F89" s="10" t="n">
        <x:f>SUM(M89:Q89)</x:f>
        <x:v>50</x:v>
      </x:c>
      <x:c r="G89" s="3" t="str">
        <x:v>unknown</x:v>
      </x:c>
      <x:c r="H89" s="3" t="str">
        <x:v>Research only</x:v>
      </x:c>
      <x:c r="I89" s="3" t="str">
        <x:v>https://servitium.in/about-us/management-team/</x:v>
      </x:c>
      <x:c r="J89" s="3" t="str">
        <x:v>https://servitium.in</x:v>
      </x:c>
      <x:c r="K89" s="3" t="str">
        <x:v>West Bengal</x:v>
      </x:c>
      <x:c r="L89" s="3" t="str">
        <x:v>Indian lending and microfinance operations</x:v>
      </x:c>
      <x:c r="M89" s="3" t="n">
        <x:v>15</x:v>
      </x:c>
      <x:c r="N89" s="3" t="n">
        <x:v>0</x:v>
      </x:c>
      <x:c r="O89" s="3" t="n">
        <x:v>20</x:v>
      </x:c>
      <x:c r="P89" s="3" t="n">
        <x:v>15</x:v>
      </x:c>
      <x:c r="Q89" s="3" t="n">
        <x:v>0</x:v>
      </x:c>
    </x:row>
    <x:row r="90" ht="44" customHeight="1">
      <x:c r="A90" s="8" t="n">
        <x:v>85</x:v>
      </x:c>
      <x:c r="B90" s="8" t="str">
        <x:v>L085</x:v>
      </x:c>
      <x:c r="C90" s="8" t="str">
        <x:v>Sindhuja Microcredit Private Limited</x:v>
      </x:c>
      <x:c r="D90" s="8" t="str">
        <x:v>Malkit Singh Didyala</x:v>
      </x:c>
      <x:c r="E90" s="8" t="str">
        <x:v>Co-founder, Whole-time Director, CEO &amp; CIO</x:v>
      </x:c>
      <x:c r="F90" s="9" t="n">
        <x:f>SUM(M90:Q90)</x:f>
        <x:v>50</x:v>
      </x:c>
      <x:c r="G90" s="8" t="str">
        <x:v>unknown</x:v>
      </x:c>
      <x:c r="H90" s="8" t="str">
        <x:v>Research only</x:v>
      </x:c>
      <x:c r="I90" s="8" t="str">
        <x:v>https://nationalconference2026.sa-dhan.net/</x:v>
      </x:c>
      <x:c r="J90" s="8" t="str">
        <x:v>Not established</x:v>
      </x:c>
      <x:c r="K90" s="8" t="str">
        <x:v>Uttar Pradesh</x:v>
      </x:c>
      <x:c r="L90" s="8" t="str">
        <x:v>Indian lending and microfinance operations</x:v>
      </x:c>
      <x:c r="M90" s="8" t="n">
        <x:v>15</x:v>
      </x:c>
      <x:c r="N90" s="8" t="n">
        <x:v>0</x:v>
      </x:c>
      <x:c r="O90" s="8" t="n">
        <x:v>20</x:v>
      </x:c>
      <x:c r="P90" s="8" t="n">
        <x:v>15</x:v>
      </x:c>
      <x:c r="Q90" s="8" t="n">
        <x:v>0</x:v>
      </x:c>
    </x:row>
    <x:row r="91" ht="44" customHeight="1">
      <x:c r="A91" s="3" t="n">
        <x:v>86</x:v>
      </x:c>
      <x:c r="B91" s="3" t="str">
        <x:v>L086</x:v>
      </x:c>
      <x:c r="C91" s="3" t="str">
        <x:v>SKDRDP BC Trust</x:v>
      </x:c>
      <x:c r="D91" s="3" t="str">
        <x:v>Anil Kumar S. S.</x:v>
      </x:c>
      <x:c r="E91" s="3" t="str">
        <x:v>Chief Executive Officer</x:v>
      </x:c>
      <x:c r="F91" s="10" t="n">
        <x:f>SUM(M91:Q91)</x:f>
        <x:v>50</x:v>
      </x:c>
      <x:c r="G91" s="3" t="str">
        <x:v>unknown</x:v>
      </x:c>
      <x:c r="H91" s="3" t="str">
        <x:v>Research only</x:v>
      </x:c>
      <x:c r="I91" s="3" t="str">
        <x:v>https://nationalconference2026.sa-dhan.net/</x:v>
      </x:c>
      <x:c r="J91" s="3" t="str">
        <x:v>Not established</x:v>
      </x:c>
      <x:c r="K91" s="3" t="str">
        <x:v>Not established</x:v>
      </x:c>
      <x:c r="L91" s="3" t="str">
        <x:v>Financial inclusion</x:v>
      </x:c>
      <x:c r="M91" s="3" t="n">
        <x:v>15</x:v>
      </x:c>
      <x:c r="N91" s="3" t="n">
        <x:v>0</x:v>
      </x:c>
      <x:c r="O91" s="3" t="n">
        <x:v>20</x:v>
      </x:c>
      <x:c r="P91" s="3" t="n">
        <x:v>15</x:v>
      </x:c>
      <x:c r="Q91" s="3" t="n">
        <x:v>0</x:v>
      </x:c>
    </x:row>
    <x:row r="92" ht="44" customHeight="1">
      <x:c r="A92" s="8" t="n">
        <x:v>87</x:v>
      </x:c>
      <x:c r="B92" s="8" t="str">
        <x:v>L087</x:v>
      </x:c>
      <x:c r="C92" s="8" t="str">
        <x:v>South Indian Credit Ltd</x:v>
      </x:c>
      <x:c r="D92" s="8" t="str">
        <x:v>Elby Thomson</x:v>
      </x:c>
      <x:c r="E92" s="8" t="str">
        <x:v>Managing Director &amp; CEO</x:v>
      </x:c>
      <x:c r="F92" s="9" t="n">
        <x:f>SUM(M92:Q92)</x:f>
        <x:v>50</x:v>
      </x:c>
      <x:c r="G92" s="8" t="str">
        <x:v>unknown</x:v>
      </x:c>
      <x:c r="H92" s="8" t="str">
        <x:v>Research only</x:v>
      </x:c>
      <x:c r="I92" s="8" t="str">
        <x:v>https://southindiancredits.com/about</x:v>
      </x:c>
      <x:c r="J92" s="8" t="str">
        <x:v>https://southindiancredits.com</x:v>
      </x:c>
      <x:c r="K92" s="8" t="str">
        <x:v>Kerala</x:v>
      </x:c>
      <x:c r="L92" s="8" t="str">
        <x:v>Indian lending and microfinance operations</x:v>
      </x:c>
      <x:c r="M92" s="8" t="n">
        <x:v>15</x:v>
      </x:c>
      <x:c r="N92" s="8" t="n">
        <x:v>0</x:v>
      </x:c>
      <x:c r="O92" s="8" t="n">
        <x:v>20</x:v>
      </x:c>
      <x:c r="P92" s="8" t="n">
        <x:v>15</x:v>
      </x:c>
      <x:c r="Q92" s="8" t="n">
        <x:v>0</x:v>
      </x:c>
    </x:row>
    <x:row r="93" ht="44" customHeight="1">
      <x:c r="A93" s="3" t="n">
        <x:v>88</x:v>
      </x:c>
      <x:c r="B93" s="3" t="str">
        <x:v>L088</x:v>
      </x:c>
      <x:c r="C93" s="3" t="str">
        <x:v>Spandana Sphoorty Financial Limited</x:v>
      </x:c>
      <x:c r="D93" s="3" t="str">
        <x:v>Venkatesh Krishnan</x:v>
      </x:c>
      <x:c r="E93" s="3" t="str">
        <x:v>Managing Director &amp; CEO</x:v>
      </x:c>
      <x:c r="F93" s="10" t="n">
        <x:f>SUM(M93:Q93)</x:f>
        <x:v>50</x:v>
      </x:c>
      <x:c r="G93" s="3" t="str">
        <x:v>unknown</x:v>
      </x:c>
      <x:c r="H93" s="3" t="str">
        <x:v>Research only</x:v>
      </x:c>
      <x:c r="I93" s="3" t="str">
        <x:v>https://mfinindia.org/about/leadership</x:v>
      </x:c>
      <x:c r="J93" s="3" t="str">
        <x:v>Not established</x:v>
      </x:c>
      <x:c r="K93" s="3" t="str">
        <x:v>Telangana</x:v>
      </x:c>
      <x:c r="L93" s="3" t="str">
        <x:v>Indian lending and microfinance operations</x:v>
      </x:c>
      <x:c r="M93" s="3" t="n">
        <x:v>15</x:v>
      </x:c>
      <x:c r="N93" s="3" t="n">
        <x:v>0</x:v>
      </x:c>
      <x:c r="O93" s="3" t="n">
        <x:v>20</x:v>
      </x:c>
      <x:c r="P93" s="3" t="n">
        <x:v>15</x:v>
      </x:c>
      <x:c r="Q93" s="3" t="n">
        <x:v>0</x:v>
      </x:c>
    </x:row>
    <x:row r="94" ht="44" customHeight="1">
      <x:c r="A94" s="8" t="n">
        <x:v>89</x:v>
      </x:c>
      <x:c r="B94" s="8" t="str">
        <x:v>L089</x:v>
      </x:c>
      <x:c r="C94" s="8" t="str">
        <x:v>Suryoday Small Finance Bank Limited</x:v>
      </x:c>
      <x:c r="D94" s="8" t="str">
        <x:v>R. Baskar Babu</x:v>
      </x:c>
      <x:c r="E94" s="8" t="str">
        <x:v>Managing Director &amp; CEO</x:v>
      </x:c>
      <x:c r="F94" s="9" t="n">
        <x:f>SUM(M94:Q94)</x:f>
        <x:v>50</x:v>
      </x:c>
      <x:c r="G94" s="8" t="str">
        <x:v>unknown</x:v>
      </x:c>
      <x:c r="H94" s="8" t="str">
        <x:v>Research only</x:v>
      </x:c>
      <x:c r="I94" s="8" t="str">
        <x:v>https://mfinindia.org/about/leadership</x:v>
      </x:c>
      <x:c r="J94" s="8" t="str">
        <x:v>Not established</x:v>
      </x:c>
      <x:c r="K94" s="8" t="str">
        <x:v>Not established</x:v>
      </x:c>
      <x:c r="L94" s="8" t="str">
        <x:v>Small finance bank</x:v>
      </x:c>
      <x:c r="M94" s="8" t="n">
        <x:v>15</x:v>
      </x:c>
      <x:c r="N94" s="8" t="n">
        <x:v>0</x:v>
      </x:c>
      <x:c r="O94" s="8" t="n">
        <x:v>20</x:v>
      </x:c>
      <x:c r="P94" s="8" t="n">
        <x:v>15</x:v>
      </x:c>
      <x:c r="Q94" s="8" t="n">
        <x:v>0</x:v>
      </x:c>
    </x:row>
    <x:row r="95" ht="44" customHeight="1">
      <x:c r="A95" s="3" t="n">
        <x:v>90</x:v>
      </x:c>
      <x:c r="B95" s="3" t="str">
        <x:v>L090</x:v>
      </x:c>
      <x:c r="C95" s="3" t="str">
        <x:v>Svatantra Microfin Limited</x:v>
      </x:c>
      <x:c r="D95" s="3" t="str">
        <x:v>Vineet Chattree</x:v>
      </x:c>
      <x:c r="E95" s="3" t="str">
        <x:v>Managing Director</x:v>
      </x:c>
      <x:c r="F95" s="10" t="n">
        <x:f>SUM(M95:Q95)</x:f>
        <x:v>50</x:v>
      </x:c>
      <x:c r="G95" s="3" t="str">
        <x:v>unknown</x:v>
      </x:c>
      <x:c r="H95" s="3" t="str">
        <x:v>Research only</x:v>
      </x:c>
      <x:c r="I95" s="3" t="str">
        <x:v>https://nationalconference2026.sa-dhan.net/</x:v>
      </x:c>
      <x:c r="J95" s="3" t="str">
        <x:v>http://www.svatantramicrofin.com</x:v>
      </x:c>
      <x:c r="K95" s="3" t="str">
        <x:v>Maharashtra</x:v>
      </x:c>
      <x:c r="L95" s="3" t="str">
        <x:v>Indian lending and microfinance operations</x:v>
      </x:c>
      <x:c r="M95" s="3" t="n">
        <x:v>15</x:v>
      </x:c>
      <x:c r="N95" s="3" t="n">
        <x:v>0</x:v>
      </x:c>
      <x:c r="O95" s="3" t="n">
        <x:v>20</x:v>
      </x:c>
      <x:c r="P95" s="3" t="n">
        <x:v>15</x:v>
      </x:c>
      <x:c r="Q95" s="3" t="n">
        <x:v>0</x:v>
      </x:c>
    </x:row>
    <x:row r="96" ht="44" customHeight="1">
      <x:c r="A96" s="8" t="n">
        <x:v>91</x:v>
      </x:c>
      <x:c r="B96" s="8" t="str">
        <x:v>L091</x:v>
      </x:c>
      <x:c r="C96" s="8" t="str">
        <x:v>UFin Financial Services Limited</x:v>
      </x:c>
      <x:c r="D96" s="8" t="str">
        <x:v>Vasanth Vasu</x:v>
      </x:c>
      <x:c r="E96" s="8" t="str">
        <x:v>Joint Managing Director</x:v>
      </x:c>
      <x:c r="F96" s="9" t="n">
        <x:f>SUM(M96:Q96)</x:f>
        <x:v>50</x:v>
      </x:c>
      <x:c r="G96" s="8" t="str">
        <x:v>unknown</x:v>
      </x:c>
      <x:c r="H96" s="8" t="str">
        <x:v>Research only</x:v>
      </x:c>
      <x:c r="I96" s="8" t="str">
        <x:v>https://mfinindia.org/about/leadership</x:v>
      </x:c>
      <x:c r="J96" s="8" t="str">
        <x:v>Not established</x:v>
      </x:c>
      <x:c r="K96" s="8" t="str">
        <x:v>Not established</x:v>
      </x:c>
      <x:c r="L96" s="8" t="str">
        <x:v>Microfinance</x:v>
      </x:c>
      <x:c r="M96" s="8" t="n">
        <x:v>15</x:v>
      </x:c>
      <x:c r="N96" s="8" t="n">
        <x:v>0</x:v>
      </x:c>
      <x:c r="O96" s="8" t="n">
        <x:v>20</x:v>
      </x:c>
      <x:c r="P96" s="8" t="n">
        <x:v>15</x:v>
      </x:c>
      <x:c r="Q96" s="8" t="n">
        <x:v>0</x:v>
      </x:c>
    </x:row>
    <x:row r="97" ht="44" customHeight="1">
      <x:c r="A97" s="3" t="n">
        <x:v>92</x:v>
      </x:c>
      <x:c r="B97" s="3" t="str">
        <x:v>L092</x:v>
      </x:c>
      <x:c r="C97" s="3" t="str">
        <x:v>UGRO Capital Limited</x:v>
      </x:c>
      <x:c r="D97" s="3" t="str">
        <x:v>Anuj Pandey</x:v>
      </x:c>
      <x:c r="E97" s="3" t="str">
        <x:v>Chief Executive Officer</x:v>
      </x:c>
      <x:c r="F97" s="10" t="n">
        <x:f>SUM(M97:Q97)</x:f>
        <x:v>50</x:v>
      </x:c>
      <x:c r="G97" s="3" t="str">
        <x:v>unknown</x:v>
      </x:c>
      <x:c r="H97" s="3" t="str">
        <x:v>Research only</x:v>
      </x:c>
      <x:c r="I97" s="3" t="str">
        <x:v>https://www.ugrocapital.com/about</x:v>
      </x:c>
      <x:c r="J97" s="3" t="str">
        <x:v>https://www.ugrocapital.com</x:v>
      </x:c>
      <x:c r="K97" s="3" t="str">
        <x:v>Not established</x:v>
      </x:c>
      <x:c r="L97" s="3" t="str">
        <x:v>MSME lending</x:v>
      </x:c>
      <x:c r="M97" s="3" t="n">
        <x:v>15</x:v>
      </x:c>
      <x:c r="N97" s="3" t="n">
        <x:v>0</x:v>
      </x:c>
      <x:c r="O97" s="3" t="n">
        <x:v>20</x:v>
      </x:c>
      <x:c r="P97" s="3" t="n">
        <x:v>15</x:v>
      </x:c>
      <x:c r="Q97" s="3" t="n">
        <x:v>0</x:v>
      </x:c>
    </x:row>
    <x:row r="98" ht="44" customHeight="1">
      <x:c r="A98" s="8" t="n">
        <x:v>93</x:v>
      </x:c>
      <x:c r="B98" s="8" t="str">
        <x:v>L093</x:v>
      </x:c>
      <x:c r="C98" s="8" t="str">
        <x:v>Unity Small Finance Bank Limited</x:v>
      </x:c>
      <x:c r="D98" s="8" t="str">
        <x:v>Inderjit Camotra</x:v>
      </x:c>
      <x:c r="E98" s="8" t="str">
        <x:v>Managing Director &amp; CEO</x:v>
      </x:c>
      <x:c r="F98" s="9" t="n">
        <x:f>SUM(M98:Q98)</x:f>
        <x:v>50</x:v>
      </x:c>
      <x:c r="G98" s="8" t="str">
        <x:v>unknown</x:v>
      </x:c>
      <x:c r="H98" s="8" t="str">
        <x:v>Research only</x:v>
      </x:c>
      <x:c r="I98" s="8" t="str">
        <x:v>https://nationalconference2026.sa-dhan.net/</x:v>
      </x:c>
      <x:c r="J98" s="8" t="str">
        <x:v>Not established</x:v>
      </x:c>
      <x:c r="K98" s="8" t="str">
        <x:v>Not established</x:v>
      </x:c>
      <x:c r="L98" s="8" t="str">
        <x:v>Small finance bank</x:v>
      </x:c>
      <x:c r="M98" s="8" t="n">
        <x:v>15</x:v>
      </x:c>
      <x:c r="N98" s="8" t="n">
        <x:v>0</x:v>
      </x:c>
      <x:c r="O98" s="8" t="n">
        <x:v>20</x:v>
      </x:c>
      <x:c r="P98" s="8" t="n">
        <x:v>15</x:v>
      </x:c>
      <x:c r="Q98" s="8" t="n">
        <x:v>0</x:v>
      </x:c>
    </x:row>
    <x:row r="99" ht="44" customHeight="1">
      <x:c r="A99" s="3" t="n">
        <x:v>94</x:v>
      </x:c>
      <x:c r="B99" s="3" t="str">
        <x:v>L094</x:v>
      </x:c>
      <x:c r="C99" s="3" t="str">
        <x:v>Unnatti Finserv Private Limited</x:v>
      </x:c>
      <x:c r="D99" s="3" t="str">
        <x:v>Abhijit Hanumant Ranjane</x:v>
      </x:c>
      <x:c r="E99" s="3" t="str">
        <x:v>Managing Director</x:v>
      </x:c>
      <x:c r="F99" s="10" t="n">
        <x:f>SUM(M99:Q99)</x:f>
        <x:v>50</x:v>
      </x:c>
      <x:c r="G99" s="3" t="str">
        <x:v>unknown</x:v>
      </x:c>
      <x:c r="H99" s="3" t="str">
        <x:v>Research only</x:v>
      </x:c>
      <x:c r="I99" s="3" t="str">
        <x:v>https://unnattifinserv.com/board-of-directors.html</x:v>
      </x:c>
      <x:c r="J99" s="3" t="str">
        <x:v>https://unnattifinserv.com</x:v>
      </x:c>
      <x:c r="K99" s="3" t="str">
        <x:v>Maharashtra</x:v>
      </x:c>
      <x:c r="L99" s="3" t="str">
        <x:v>Indian lending and microfinance operations</x:v>
      </x:c>
      <x:c r="M99" s="3" t="n">
        <x:v>15</x:v>
      </x:c>
      <x:c r="N99" s="3" t="n">
        <x:v>0</x:v>
      </x:c>
      <x:c r="O99" s="3" t="n">
        <x:v>20</x:v>
      </x:c>
      <x:c r="P99" s="3" t="n">
        <x:v>15</x:v>
      </x:c>
      <x:c r="Q99" s="3" t="n">
        <x:v>0</x:v>
      </x:c>
    </x:row>
    <x:row r="100" ht="44" customHeight="1">
      <x:c r="A100" s="8" t="n">
        <x:v>95</x:v>
      </x:c>
      <x:c r="B100" s="8" t="str">
        <x:v>L095</x:v>
      </x:c>
      <x:c r="C100" s="8" t="str">
        <x:v>Utkarsh Small Finance Bank Limited</x:v>
      </x:c>
      <x:c r="D100" s="8" t="str">
        <x:v>Govind Singh</x:v>
      </x:c>
      <x:c r="E100" s="8" t="str">
        <x:v>Managing Director &amp; CEO</x:v>
      </x:c>
      <x:c r="F100" s="9" t="n">
        <x:f>SUM(M100:Q100)</x:f>
        <x:v>50</x:v>
      </x:c>
      <x:c r="G100" s="8" t="str">
        <x:v>unknown</x:v>
      </x:c>
      <x:c r="H100" s="8" t="str">
        <x:v>Research only</x:v>
      </x:c>
      <x:c r="I100" s="8" t="str">
        <x:v>https://nationalconference2026.sa-dhan.net/</x:v>
      </x:c>
      <x:c r="J100" s="8" t="str">
        <x:v>Not established</x:v>
      </x:c>
      <x:c r="K100" s="8" t="str">
        <x:v>Not established</x:v>
      </x:c>
      <x:c r="L100" s="8" t="str">
        <x:v>Small finance bank</x:v>
      </x:c>
      <x:c r="M100" s="8" t="n">
        <x:v>15</x:v>
      </x:c>
      <x:c r="N100" s="8" t="n">
        <x:v>0</x:v>
      </x:c>
      <x:c r="O100" s="8" t="n">
        <x:v>20</x:v>
      </x:c>
      <x:c r="P100" s="8" t="n">
        <x:v>15</x:v>
      </x:c>
      <x:c r="Q100" s="8" t="n">
        <x:v>0</x:v>
      </x:c>
    </x:row>
    <x:row r="101" ht="44" customHeight="1">
      <x:c r="A101" s="3" t="n">
        <x:v>96</x:v>
      </x:c>
      <x:c r="B101" s="3" t="str">
        <x:v>L096</x:v>
      </x:c>
      <x:c r="C101" s="3" t="str">
        <x:v>Vedika Credit Capital Ltd.</x:v>
      </x:c>
      <x:c r="D101" s="3" t="str">
        <x:v>Gautam Jain</x:v>
      </x:c>
      <x:c r="E101" s="3" t="str">
        <x:v>Managing Director</x:v>
      </x:c>
      <x:c r="F101" s="10" t="n">
        <x:f>SUM(M101:Q101)</x:f>
        <x:v>50</x:v>
      </x:c>
      <x:c r="G101" s="3" t="str">
        <x:v>unknown</x:v>
      </x:c>
      <x:c r="H101" s="3" t="str">
        <x:v>Research only</x:v>
      </x:c>
      <x:c r="I101" s="3" t="str">
        <x:v>https://teamvedika.com/</x:v>
      </x:c>
      <x:c r="J101" s="3" t="str">
        <x:v>https://teamvedika.com</x:v>
      </x:c>
      <x:c r="K101" s="3" t="str">
        <x:v>Jharkhand</x:v>
      </x:c>
      <x:c r="L101" s="3" t="str">
        <x:v>Indian lending and microfinance operations</x:v>
      </x:c>
      <x:c r="M101" s="3" t="n">
        <x:v>15</x:v>
      </x:c>
      <x:c r="N101" s="3" t="n">
        <x:v>0</x:v>
      </x:c>
      <x:c r="O101" s="3" t="n">
        <x:v>20</x:v>
      </x:c>
      <x:c r="P101" s="3" t="n">
        <x:v>15</x:v>
      </x:c>
      <x:c r="Q101" s="3" t="n">
        <x:v>0</x:v>
      </x:c>
    </x:row>
    <x:row r="102" ht="44" customHeight="1">
      <x:c r="A102" s="8" t="n">
        <x:v>97</x:v>
      </x:c>
      <x:c r="B102" s="8" t="str">
        <x:v>L097</x:v>
      </x:c>
      <x:c r="C102" s="8" t="str">
        <x:v>Veritas Finance Limited</x:v>
      </x:c>
      <x:c r="D102" s="8" t="str">
        <x:v>D. Arulmany</x:v>
      </x:c>
      <x:c r="E102" s="8" t="str">
        <x:v>Founder, Managing Director &amp; CEO</x:v>
      </x:c>
      <x:c r="F102" s="9" t="n">
        <x:f>SUM(M102:Q102)</x:f>
        <x:v>50</x:v>
      </x:c>
      <x:c r="G102" s="8" t="str">
        <x:v>unknown</x:v>
      </x:c>
      <x:c r="H102" s="8" t="str">
        <x:v>Research only</x:v>
      </x:c>
      <x:c r="I102" s="8" t="str">
        <x:v>https://www.veritasfin.in/teamveritas.php</x:v>
      </x:c>
      <x:c r="J102" s="8" t="str">
        <x:v>https://www.veritasfin.in</x:v>
      </x:c>
      <x:c r="K102" s="8" t="str">
        <x:v>Not established</x:v>
      </x:c>
      <x:c r="L102" s="8" t="str">
        <x:v>MSME lending</x:v>
      </x:c>
      <x:c r="M102" s="8" t="n">
        <x:v>15</x:v>
      </x:c>
      <x:c r="N102" s="8" t="n">
        <x:v>0</x:v>
      </x:c>
      <x:c r="O102" s="8" t="n">
        <x:v>20</x:v>
      </x:c>
      <x:c r="P102" s="8" t="n">
        <x:v>15</x:v>
      </x:c>
      <x:c r="Q102" s="8" t="n">
        <x:v>0</x:v>
      </x:c>
    </x:row>
    <x:row r="103" ht="44" customHeight="1">
      <x:c r="A103" s="3" t="n">
        <x:v>98</x:v>
      </x:c>
      <x:c r="B103" s="3" t="str">
        <x:v>L098</x:v>
      </x:c>
      <x:c r="C103" s="3" t="str">
        <x:v>VFS Capital Ltd</x:v>
      </x:c>
      <x:c r="D103" s="3" t="str">
        <x:v>Kuldip Maity</x:v>
      </x:c>
      <x:c r="E103" s="3" t="str">
        <x:v>Managing Director &amp; CEO</x:v>
      </x:c>
      <x:c r="F103" s="10" t="n">
        <x:f>SUM(M103:Q103)</x:f>
        <x:v>50</x:v>
      </x:c>
      <x:c r="G103" s="3" t="str">
        <x:v>unknown</x:v>
      </x:c>
      <x:c r="H103" s="3" t="str">
        <x:v>Research only</x:v>
      </x:c>
      <x:c r="I103" s="3" t="str">
        <x:v>https://www.vfscapital.in/governance/management-team/kuldip-maity</x:v>
      </x:c>
      <x:c r="J103" s="3" t="str">
        <x:v>https://www.vfscapital.in</x:v>
      </x:c>
      <x:c r="K103" s="3" t="str">
        <x:v>West Bengal</x:v>
      </x:c>
      <x:c r="L103" s="3" t="str">
        <x:v>Indian lending and microfinance operations</x:v>
      </x:c>
      <x:c r="M103" s="3" t="n">
        <x:v>15</x:v>
      </x:c>
      <x:c r="N103" s="3" t="n">
        <x:v>0</x:v>
      </x:c>
      <x:c r="O103" s="3" t="n">
        <x:v>20</x:v>
      </x:c>
      <x:c r="P103" s="3" t="n">
        <x:v>15</x:v>
      </x:c>
      <x:c r="Q103" s="3" t="n">
        <x:v>0</x:v>
      </x:c>
    </x:row>
    <x:row r="104" ht="44" customHeight="1">
      <x:c r="A104" s="8" t="n">
        <x:v>99</x:v>
      </x:c>
      <x:c r="B104" s="8" t="str">
        <x:v>L099</x:v>
      </x:c>
      <x:c r="C104" s="8" t="str">
        <x:v>Kaleidofin</x:v>
      </x:c>
      <x:c r="D104" s="8" t="str">
        <x:v>Vipul Sekhsaria</x:v>
      </x:c>
      <x:c r="E104" s="8" t="str">
        <x:v>Co-founder &amp; COO</x:v>
      </x:c>
      <x:c r="F104" s="9" t="n">
        <x:f>SUM(M104:Q104)</x:f>
        <x:v>40</x:v>
      </x:c>
      <x:c r="G104" s="8" t="str">
        <x:v>unknown</x:v>
      </x:c>
      <x:c r="H104" s="8" t="str">
        <x:v>Research only</x:v>
      </x:c>
      <x:c r="I104" s="8" t="str">
        <x:v>https://nationalconference2026.sa-dhan.net/</x:v>
      </x:c>
      <x:c r="J104" s="8" t="str">
        <x:v>Not established</x:v>
      </x:c>
      <x:c r="K104" s="8" t="str">
        <x:v>Not established</x:v>
      </x:c>
      <x:c r="L104" s="8" t="str">
        <x:v>Financial inclusion technology</x:v>
      </x:c>
      <x:c r="M104" s="8" t="n">
        <x:v>15</x:v>
      </x:c>
      <x:c r="N104" s="8" t="n">
        <x:v>0</x:v>
      </x:c>
      <x:c r="O104" s="8" t="n">
        <x:v>10</x:v>
      </x:c>
      <x:c r="P104" s="8" t="n">
        <x:v>15</x:v>
      </x:c>
      <x:c r="Q104" s="8" t="n">
        <x:v>0</x:v>
      </x:c>
    </x:row>
    <x:row r="105" ht="44" customHeight="1">
      <x:c r="A105" s="3" t="n">
        <x:v>100</x:v>
      </x:c>
      <x:c r="B105" s="3" t="str">
        <x:v>L100</x:v>
      </x:c>
      <x:c r="C105" s="3" t="str">
        <x:v>NPCI Bharat BillPay Limited</x:v>
      </x:c>
      <x:c r="D105" s="3" t="str">
        <x:v>Noopur Chaturvedi</x:v>
      </x:c>
      <x:c r="E105" s="3" t="str">
        <x:v>Managing Director &amp; CEO</x:v>
      </x:c>
      <x:c r="F105" s="10" t="n">
        <x:f>SUM(M105:Q105)</x:f>
        <x:v>40</x:v>
      </x:c>
      <x:c r="G105" s="3" t="str">
        <x:v>unknown</x:v>
      </x:c>
      <x:c r="H105" s="3" t="str">
        <x:v>Research only</x:v>
      </x:c>
      <x:c r="I105" s="3" t="str">
        <x:v>https://nationalconference2026.sa-dhan.net/</x:v>
      </x:c>
      <x:c r="J105" s="3" t="str">
        <x:v>Not established</x:v>
      </x:c>
      <x:c r="K105" s="3" t="str">
        <x:v>Not established</x:v>
      </x:c>
      <x:c r="L105" s="3" t="str">
        <x:v>Payments</x:v>
      </x:c>
      <x:c r="M105" s="3" t="n">
        <x:v>15</x:v>
      </x:c>
      <x:c r="N105" s="3" t="n">
        <x:v>0</x:v>
      </x:c>
      <x:c r="O105" s="3" t="n">
        <x:v>10</x:v>
      </x:c>
      <x:c r="P105" s="3" t="n">
        <x:v>15</x:v>
      </x:c>
      <x:c r="Q105" s="3" t="n">
        <x:v>0</x:v>
      </x:c>
    </x:row>
  </x:sheetData>
  <x:mergeCells>
    <x:mergeCell ref="A2:H2"/>
    <x:mergeCell ref="A3:H3"/>
  </x:mergeCells>
  <x:conditionalFormatting sqref="F6:F105">
    <x:cfRule type="dataBar" priority="1">
      <x:dataBar>
        <x:cfvo type="min"/>
        <x:cfvo type="max"/>
        <x:color rgb="FFC4A469"/>
      </x:dataBar>
      <x:extLst>
        <x:ext xmlns:x14="http://schemas.microsoft.com/office/spreadsheetml/2009/9/main" uri="{B025F937-C7B1-47D3-B67F-A62EFF666E3E}">
          <x14:id>2fc21d97-32fa-4b79-8bff-bff972ef3a29</x14:id>
        </x:ext>
      </x:extLst>
    </x:cfRule>
  </x:conditionalFormatting>
  <x:pageMargins left="0.7" right="0.7" top="0.75" bottom="0.75" header="0.3" footer="0.3"/>
  <x:tableParts count="1">
    <x:tablePart xmlns:r="http://schemas.openxmlformats.org/officeDocument/2006/relationships" r:id="Rb4f0a3d3a0ec41bd"/>
  </x:tableParts>
  <x:extLst>
    <x:ext xmlns:x14="http://schemas.microsoft.com/office/spreadsheetml/2009/9/main" xmlns:xm="http://schemas.microsoft.com/office/excel/2006/main" uri="{78C0D931-6437-407d-A8EE-F0AAD7539E65}">
      <x14:conditionalFormattings>
        <x14:conditionalFormatting>
          <x14:cfRule type="dataBar" priority="1" id="2fc21d97-32fa-4b79-8bff-bff972ef3a29">
            <x14:dataBar gradient="0">
              <x14:cfvo type="min"/>
              <x14:cfvo type="max"/>
              <x14:fillColor rgb="FFC4A469"/>
            </x14:dataBar>
          </x14:cfRule>
          <xm:sqref>F6:F105</xm:sqref>
        </x14:conditionalFormatting>
      </x14:conditionalFormattings>
    </x:ext>
  </x:extLst>
</x:worksheet>
</file>

<file path=xl/worksheets/sheet3.xml><?xml version="1.0" encoding="utf-8"?>
<x:worksheet xmlns:x="http://schemas.openxmlformats.org/spreadsheetml/2006/main">
  <x:sheetPr>
    <x:tabColor rgb="FF672D32"/>
  </x:sheetPr>
  <x:sheetViews>
    <x:sheetView showGridLines="0" workbookViewId="0">
      <x:pane xSplit="3" ySplit="5" topLeftCell="D6" activePane="bottomRight" state="frozen"/>
    </x:sheetView>
  </x:sheetViews>
  <x:sheetFormatPr defaultRowHeight="15"/>
  <x:cols>
    <x:col min="1" max="1" width="7.21999979019165" hidden="0" customWidth="1"/>
    <x:col min="2" max="2" width="29.440000534057617" hidden="0" customWidth="1"/>
    <x:col min="3" max="3" width="55.560001373291016" hidden="0" customWidth="1"/>
    <x:col min="4" max="4" width="38.88999938964844" hidden="0" customWidth="1"/>
    <x:col min="5" max="5" width="30.559999465942383" hidden="0" customWidth="1"/>
    <x:col min="6" max="6" width="10" hidden="0" customWidth="1"/>
    <x:col min="7" max="7" width="42.220001220703125" hidden="0" customWidth="1"/>
    <x:col min="8" max="8" width="36.66999816894531" hidden="0" customWidth="1"/>
    <x:col min="9" max="9" width="35.560001373291016" hidden="0" customWidth="1"/>
    <x:col min="10" max="10" width="38.88999938964844" hidden="0" customWidth="1"/>
    <x:col min="11" max="11" width="53.33000183105469" hidden="0" customWidth="1"/>
  </x:cols>
  <x:sheetData>
    <x:row r="1" ht="24" customHeight="1">
      <x:c r="A1" s="3"/>
      <x:c r="B1" s="3"/>
      <x:c r="C1" s="3"/>
      <x:c r="D1" s="3"/>
      <x:c r="E1" s="3"/>
      <x:c r="F1" s="3"/>
      <x:c r="G1" s="3"/>
      <x:c r="H1" s="3"/>
      <x:c r="I1" s="3"/>
      <x:c r="J1" s="3"/>
      <x:c r="K1" s="3"/>
    </x:row>
    <x:row r="2" ht="34" customHeight="1">
      <x:c r="A2" s="4" t="str">
        <x:v>Research &amp; contact evidence</x:v>
      </x:c>
      <x:c r="B2" s="3"/>
      <x:c r="C2" s="3"/>
      <x:c r="D2" s="3"/>
      <x:c r="E2" s="3"/>
      <x:c r="F2" s="3"/>
      <x:c r="G2" s="3"/>
      <x:c r="H2" s="3"/>
      <x:c r="I2" s="3"/>
      <x:c r="J2" s="3"/>
      <x:c r="K2" s="3"/>
    </x:row>
    <x:row r="3" ht="30" customHeight="1">
      <x:c r="A3" s="5" t="str">
        <x:v>Facts are sourced. Need hypotheses are questions to validate. A generic inbox is not the named executive’s address.</x:v>
      </x:c>
      <x:c r="B3" s="3"/>
      <x:c r="C3" s="3"/>
      <x:c r="D3" s="3"/>
      <x:c r="E3" s="3"/>
      <x:c r="F3" s="3"/>
      <x:c r="G3" s="3"/>
      <x:c r="H3" s="3"/>
      <x:c r="I3" s="3"/>
      <x:c r="J3" s="3"/>
      <x:c r="K3" s="3"/>
    </x:row>
    <x:row r="4" ht="24" customHeight="1">
      <x:c r="A4" s="3"/>
      <x:c r="B4" s="3"/>
      <x:c r="C4" s="3"/>
      <x:c r="D4" s="3"/>
      <x:c r="E4" s="3"/>
      <x:c r="F4" s="3"/>
      <x:c r="G4" s="3"/>
      <x:c r="H4" s="3"/>
      <x:c r="I4" s="3"/>
      <x:c r="J4" s="3"/>
      <x:c r="K4" s="3"/>
    </x:row>
    <x:row r="5" ht="34" customHeight="1">
      <x:c r="A5" s="7" t="str">
        <x:v>Lead ID</x:v>
      </x:c>
      <x:c r="B5" s="7" t="str">
        <x:v>Company</x:v>
      </x:c>
      <x:c r="C5" s="7" t="str">
        <x:v>Observed facts</x:v>
      </x:c>
      <x:c r="D5" s="7" t="str">
        <x:v>Need hypothesis</x:v>
      </x:c>
      <x:c r="E5" s="7" t="str">
        <x:v>Published business email</x:v>
      </x:c>
      <x:c r="F5" s="7" t="str">
        <x:v>Route</x:v>
      </x:c>
      <x:c r="G5" s="7" t="str">
        <x:v>Contact evidence / form</x:v>
      </x:c>
      <x:c r="H5" s="7" t="str">
        <x:v>Next action</x:v>
      </x:c>
      <x:c r="I5" s="7" t="str">
        <x:v>Unknowns</x:v>
      </x:c>
      <x:c r="J5" s="7" t="str">
        <x:v>Company evidence</x:v>
      </x:c>
      <x:c r="K5" s="7" t="str">
        <x:v>Score rationale</x:v>
      </x:c>
    </x:row>
    <x:row r="6" ht="96" hidden="0" customHeight="1">
      <x:c r="A6" s="8" t="str">
        <x:v>L001</x:v>
      </x:c>
      <x:c r="B6" s="8" t="str">
        <x:v>GU Financial Services (P) Ltd.</x:v>
      </x:c>
      <x:c r="C6" s="8" t="str">
        <x:v>Sa-Dhan’s March 2026 list includes the organisation under NBFC - MFI in Odisha.
https://www.sa-dhan.net/wp-content/uploads/2026/03/Memberlist_website26.xlsx
GU lists WASH and microenterprise loan products.
https://www.gufinance.com/</x:v>
      </x:c>
      <x:c r="D6" s="8" t="str">
        <x:v>Validate whether branch reporting, reconciliation or document review needs integration with existing systems; no software gap is established.</x:v>
      </x:c>
      <x:c r="E6" s="8" t="str">
        <x:v>chairman@gufinance.com</x:v>
      </x:c>
      <x:c r="F6" s="8" t="str">
        <x:v>named</x:v>
      </x:c>
      <x:c r="G6" s="8" t="str">
        <x:v>https://www.janabank.com/images/PDF/BC-Partner-Details-Asset-Business.pdf</x:v>
      </x:c>
      <x:c r="H6" s="8" t="str">
        <x:v>User review of recipient, wording, prior-contact history and exclusions. No sending authorised.</x:v>
      </x:c>
      <x:c r="I6" s="8" t="str">
        <x:v>Specific software or AI need; Budget and project timing; Purchasing authority; Prior outreach and do-not-contact history; Email deliverability</x:v>
      </x:c>
      <x:c r="J6" s="8" t="str">
        <x:v>https://www.sa-dhan.net/wp-content/uploads/2026/03/Memberlist_website26.xlsx</x:v>
      </x:c>
      <x:c r="K6" s="8" t="str">
        <x:v>service_fit: 30 — Specific product or operating model supports a focused reporting/document workflow hypothesis; the need itself is unconfirmed. [S161]
proof_fit: 20 — Same regulated-finance domain as Kinyoubi’s MIS data/infrastructure foundation; production outcomes are not claimed. [S002]
buyer_role: 15 — Relevant named executive is supported by a live company or current industry page. Purchasing authority remains unconfirmed. [S039]
contact_route: 10 — Assigned public business contact matched to named leader through company and bank evidence; deliverability untested. [S004, S039]</x:v>
      </x:c>
    </x:row>
    <x:row r="7" ht="96" hidden="0" customHeight="1">
      <x:c r="A7" s="3" t="str">
        <x:v>L002</x:v>
      </x:c>
      <x:c r="B7" s="3" t="str">
        <x:v>Mitrata Inclusive Financial Services Ltd.</x:v>
      </x:c>
      <x:c r="C7" s="3" t="str">
        <x:v>Sa-Dhan’s March 2026 list includes the organisation under NBFC - MFI in Haryana.
https://www.sa-dhan.net/wp-content/uploads/2026/03/Memberlist_website26.xlsx
Mitrata lists JLG, WASH and secured MSME loan products.
https://mitrata.in/products-and-services/</x:v>
      </x:c>
      <x:c r="D7" s="3" t="str">
        <x:v>Validate whether branch reporting, reconciliation or document review needs integration with existing systems; no software gap is established.</x:v>
      </x:c>
      <x:c r="E7" s="3" t="str">
        <x:v>prabhakar@mitrata.in</x:v>
      </x:c>
      <x:c r="F7" s="3" t="str">
        <x:v>named</x:v>
      </x:c>
      <x:c r="G7" s="3" t="str">
        <x:v>https://www.janabank.com/images/PDF/BC-Partner-Details-Asset-Business.pdf</x:v>
      </x:c>
      <x:c r="H7" s="3" t="str">
        <x:v>User review of recipient, wording, prior-contact history and exclusions. No sending authorised.</x:v>
      </x:c>
      <x:c r="I7" s="3" t="str">
        <x:v>Specific software or AI need; Budget and project timing; Purchasing authority; Prior outreach and do-not-contact history; Email deliverability</x:v>
      </x:c>
      <x:c r="J7" s="3" t="str">
        <x:v>https://www.sa-dhan.net/wp-content/uploads/2026/03/Memberlist_website26.xlsx</x:v>
      </x:c>
      <x:c r="K7" s="3" t="str">
        <x:v>service_fit: 30 — Specific product or operating model supports a focused reporting/document workflow hypothesis; the need itself is unconfirmed. [S163]
proof_fit: 20 — Same regulated-finance domain as Kinyoubi’s MIS data/infrastructure foundation; production outcomes are not claimed. [S002]
buyer_role: 15 — Relevant named executive is supported by a live company or current industry page. Purchasing authority remains unconfirmed. [S060]
contact_route: 10 — Assigned public business contact matched to named leader through company and bank evidence; deliverability untested. [S004, S060]</x:v>
      </x:c>
    </x:row>
    <x:row r="8" ht="96" hidden="0" customHeight="1">
      <x:c r="A8" s="8" t="str">
        <x:v>L003</x:v>
      </x:c>
      <x:c r="B8" s="8" t="str">
        <x:v>Samvedna Microfinance Private Limited</x:v>
      </x:c>
      <x:c r="C8" s="8" t="str">
        <x:v>Sa-Dhan’s March 2026 list includes the organisation under NBFC - MFI in Uttar Pradesh.
https://www.sa-dhan.net/wp-content/uploads/2026/03/Memberlist_website26.xlsx
Samvedna describes operations in Uttar Pradesh and Bihar and plans to extend its reach.
https://samvednamfi.com/</x:v>
      </x:c>
      <x:c r="D8" s="8" t="str">
        <x:v>Validate whether branch reporting, reconciliation or document review needs integration with existing systems; no software gap is established.</x:v>
      </x:c>
      <x:c r="E8" s="8" t="str">
        <x:v>trilok@samvednamfi.com</x:v>
      </x:c>
      <x:c r="F8" s="8" t="str">
        <x:v>named</x:v>
      </x:c>
      <x:c r="G8" s="8" t="str">
        <x:v>https://www.janabank.com/images/PDF/BC-Partner-Details-Asset-Business.pdf</x:v>
      </x:c>
      <x:c r="H8" s="8" t="str">
        <x:v>User review of recipient, wording, prior-contact history and exclusions. No sending authorised.</x:v>
      </x:c>
      <x:c r="I8" s="8" t="str">
        <x:v>Specific software or AI need; Budget and project timing; Purchasing authority; Prior outreach and do-not-contact history; Email deliverability</x:v>
      </x:c>
      <x:c r="J8" s="8" t="str">
        <x:v>https://www.sa-dhan.net/wp-content/uploads/2026/03/Memberlist_website26.xlsx</x:v>
      </x:c>
      <x:c r="K8" s="8" t="str">
        <x:v>service_fit: 30 — Specific product or operating model supports a focused reporting/document workflow hypothesis; the need itself is unconfirmed. [S088]
proof_fit: 20 — Same regulated-finance domain as Kinyoubi’s MIS data/infrastructure foundation; production outcomes are not claimed. [S002]
buyer_role: 15 — Relevant named executive is supported by a live company or current industry page. Purchasing authority remains unconfirmed. [S088]
contact_route: 10 — Assigned public business contact matched to named leader through company and bank evidence; deliverability untested. [S004, S088]</x:v>
      </x:c>
    </x:row>
    <x:row r="9" ht="96" hidden="0" customHeight="1">
      <x:c r="A9" s="3" t="str">
        <x:v>L004</x:v>
      </x:c>
      <x:c r="B9" s="3" t="str">
        <x:v>IDF Financial Services Private Ltd.</x:v>
      </x:c>
      <x:c r="C9" s="3" t="str">
        <x:v>Sa-Dhan’s March 2026 list includes the organisation under NBFC - MFI in Karnataka.
https://www.sa-dhan.net/wp-content/uploads/2026/03/Memberlist_website26.xlsx
IDF lists mSHG lending on its website.
https://www.idf-finance.in/</x:v>
      </x:c>
      <x:c r="D9" s="3" t="str">
        <x:v>Validate whether branch reporting, reconciliation or document review needs integration with existing systems; no software gap is established.</x:v>
      </x:c>
      <x:c r="E9" s="3" t="str">
        <x:v>patil.naganagouda@gmail.com</x:v>
      </x:c>
      <x:c r="F9" s="3" t="str">
        <x:v>named</x:v>
      </x:c>
      <x:c r="G9" s="3" t="str">
        <x:v>https://www.idf-finance.in/bod.php</x:v>
      </x:c>
      <x:c r="H9" s="3" t="str">
        <x:v>User review of recipient, wording, prior-contact history and exclusions. No sending authorised.</x:v>
      </x:c>
      <x:c r="I9" s="3" t="str">
        <x:v>Specific software or AI need; Budget and project timing; Purchasing authority; Prior outreach and do-not-contact history; Email deliverability</x:v>
      </x:c>
      <x:c r="J9" s="3" t="str">
        <x:v>https://www.sa-dhan.net/wp-content/uploads/2026/03/Memberlist_website26.xlsx</x:v>
      </x:c>
      <x:c r="K9" s="3" t="str">
        <x:v>service_fit: 30 — Specific product or operating model supports a focused reporting/document workflow hypothesis; the need itself is unconfirmed. [S162]
proof_fit: 20 — Same regulated-finance domain as Kinyoubi’s MIS data/infrastructure foundation; production outcomes are not claimed. [S002]
buyer_role: 15 — Relevant named executive is supported by a live company or current industry page. Purchasing authority remains unconfirmed. [S042]
contact_route: 10 — Assigned public business contact matched to named leader through company and bank evidence; deliverability untested. [S042, S042]</x:v>
      </x:c>
    </x:row>
    <x:row r="10" ht="96" hidden="0" customHeight="1">
      <x:c r="A10" s="8" t="str">
        <x:v>L005</x:v>
      </x:c>
      <x:c r="B10" s="8" t="str">
        <x:v>Srifin Credit Private Limited</x:v>
      </x:c>
      <x:c r="C10" s="8" t="str">
        <x:v>Sa-Dhan’s March 2026 list includes the organisation under NBFC - MFI in Telangana.
https://www.sa-dhan.net/wp-content/uploads/2026/03/Memberlist_website26.xlsx
Jana Small Finance Bank lists Srifin Credit as a business correspondent partner.
https://www.janabank.com/images/PDF/BC-Partner-Details-Asset-Business.pdf</x:v>
      </x:c>
      <x:c r="D10" s="8" t="str">
        <x:v>Validate whether branch reporting, reconciliation or document review needs integration with existing systems; no software gap is established.</x:v>
      </x:c>
      <x:c r="E10" s="8" t="str">
        <x:v>vivek@srifincredit.com</x:v>
      </x:c>
      <x:c r="F10" s="8" t="str">
        <x:v>named</x:v>
      </x:c>
      <x:c r="G10" s="8" t="str">
        <x:v>https://www.janabank.com/images/PDF/BC-Partner-Details-Asset-Business.pdf</x:v>
      </x:c>
      <x:c r="H10" s="8" t="str">
        <x:v>User review of recipient, wording, prior-contact history and exclusions. No sending authorised.</x:v>
      </x:c>
      <x:c r="I10" s="8" t="str">
        <x:v>Specific software or AI need; Budget and project timing; Purchasing authority; Prior outreach and do-not-contact history; Email deliverability</x:v>
      </x:c>
      <x:c r="J10" s="8" t="str">
        <x:v>https://www.sa-dhan.net/wp-content/uploads/2026/03/Memberlist_website26.xlsx</x:v>
      </x:c>
      <x:c r="K10" s="8" t="str">
        <x:v>service_fit: 30 — Specific product or operating model supports a focused reporting/document workflow hypothesis; the need itself is unconfirmed. [S004]
proof_fit: 20 — Same regulated-finance domain as Kinyoubi’s MIS data/infrastructure foundation; production outcomes are not claimed. [S002]
buyer_role: 15 — Relevant named executive is supported by a live company or current industry page. Purchasing authority remains unconfirmed. [S113]
contact_route: 10 — Assigned public business contact matched to named leader through company and bank evidence; deliverability untested. [S004, S113]</x:v>
      </x:c>
    </x:row>
    <x:row r="11" ht="96" hidden="0" customHeight="1">
      <x:c r="A11" s="3" t="str">
        <x:v>L006</x:v>
      </x:c>
      <x:c r="B11" s="3" t="str">
        <x:v>Aasra Fincorp Private limited</x:v>
      </x:c>
      <x:c r="C11" s="3" t="str">
        <x:v>Sa-Dhan’s March 2026 list includes the organisation under NBFC - MFI in Uttar Pradesh.
https://www.sa-dhan.net/wp-content/uploads/2026/03/Memberlist_website26.xlsx</x:v>
      </x:c>
      <x:c r="D11" s="3" t="str">
        <x:v>Validate whether branch reporting, reconciliation or document review needs integration with existing systems; no software gap is established.</x:v>
      </x:c>
      <x:c r="E11" s="3" t="str">
        <x:v>Not established</x:v>
      </x:c>
      <x:c r="F11" s="3" t="str">
        <x:v>generic</x:v>
      </x:c>
      <x:c r="G11" s="3" t="str">
        <x:v>https://www.aasrafincorp.com/contact-us</x:v>
      </x:c>
      <x:c r="H11" s="3" t="str">
        <x:v>Verify direct business contact and discovery need.</x:v>
      </x:c>
      <x:c r="I11" s="3" t="str">
        <x:v>Specific software or AI need; Budget and project timing; Purchasing authority; Prior outreach and do-not-contact history; Email deliverability</x:v>
      </x:c>
      <x:c r="J11" s="3" t="str">
        <x:v>https://www.sa-dhan.net/wp-content/uploads/2026/03/Memberlist_website26.xlsx</x:v>
      </x:c>
      <x:c r="K1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[S007]
contact_route: 5 — Official generic business inbox or contact page; requires routing to the relevant executive. [S008]</x:v>
      </x:c>
    </x:row>
    <x:row r="12" ht="96" hidden="0" customHeight="1">
      <x:c r="A12" s="8" t="str">
        <x:v>L007</x:v>
      </x:c>
      <x:c r="B12" s="8" t="str">
        <x:v>Adi Chitragupta Finance Limited</x:v>
      </x:c>
      <x:c r="C12" s="8" t="str">
        <x:v>Sa-Dhan’s March 2026 list includes the organisation under NBFC - MFI in Bihar.
https://www.sa-dhan.net/wp-content/uploads/2026/03/Memberlist_website26.xlsx</x:v>
      </x:c>
      <x:c r="D12" s="8" t="str">
        <x:v>Validate whether branch reporting, reconciliation or document review needs integration with existing systems; no software gap is established.</x:v>
      </x:c>
      <x:c r="E12" s="8" t="str">
        <x:v>info@acfl.co.in</x:v>
      </x:c>
      <x:c r="F12" s="8" t="str">
        <x:v>generic</x:v>
      </x:c>
      <x:c r="G12" s="8" t="str">
        <x:v>https://acfl.co.in/contact-us/</x:v>
      </x:c>
      <x:c r="H12" s="8" t="str">
        <x:v>Verify direct business contact and discovery need.</x:v>
      </x:c>
      <x:c r="I12" s="8" t="str">
        <x:v>Specific software or AI need; Budget and project timing; Purchasing authority; Prior outreach and do-not-contact history; Email deliverability</x:v>
      </x:c>
      <x:c r="J12" s="8" t="str">
        <x:v>https://www.sa-dhan.net/wp-content/uploads/2026/03/Memberlist_website26.xlsx</x:v>
      </x:c>
      <x:c r="K12"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[S009]
contact_route: 5 — Official generic business inbox or contact page; requires routing to the relevant executive. [S010]</x:v>
      </x:c>
    </x:row>
    <x:row r="13" ht="96" hidden="0" customHeight="1">
      <x:c r="A13" s="3" t="str">
        <x:v>L008</x:v>
      </x:c>
      <x:c r="B13" s="3" t="str">
        <x:v>AGORA Microfinance India Limited</x:v>
      </x:c>
      <x:c r="C13" s="3" t="str">
        <x:v>Sa-Dhan’s March 2026 list includes the organisation under NBFC - MFI in Maharashtra.
https://www.sa-dhan.net/wp-content/uploads/2026/03/Memberlist_website26.xlsx</x:v>
      </x:c>
      <x:c r="D13" s="3" t="str">
        <x:v>Validate whether branch reporting, reconciliation or document review needs integration with existing systems; no software gap is established.</x:v>
      </x:c>
      <x:c r="E13" s="3" t="str">
        <x:v>info@amil.co.in</x:v>
      </x:c>
      <x:c r="F13" s="3" t="str">
        <x:v>generic</x:v>
      </x:c>
      <x:c r="G13" s="3" t="str">
        <x:v>https://www.amil.co.in/contact</x:v>
      </x:c>
      <x:c r="H13" s="3" t="str">
        <x:v>Verify direct business contact and discovery need.</x:v>
      </x:c>
      <x:c r="I13" s="3" t="str">
        <x:v>Specific software or AI need; Budget and project timing; Purchasing authority; Prior outreach and do-not-contact history; Email deliverability</x:v>
      </x:c>
      <x:c r="J13" s="3" t="str">
        <x:v>https://www.sa-dhan.net/wp-content/uploads/2026/03/Memberlist_website26.xlsx</x:v>
      </x:c>
      <x:c r="K1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[S011]
contact_route: 5 — Official generic business inbox or contact page; requires routing to the relevant executive. [S012]</x:v>
      </x:c>
    </x:row>
    <x:row r="14" ht="96" hidden="0" customHeight="1">
      <x:c r="A14" s="8" t="str">
        <x:v>L009</x:v>
      </x:c>
      <x:c r="B14" s="8" t="str">
        <x:v>Avanti Finance Private Limited</x:v>
      </x:c>
      <x:c r="C14" s="8" t="str">
        <x:v>Sa-Dhan’s March 2026 list includes the organisation under NBFC in Karnataka.
https://www.sa-dhan.net/wp-content/uploads/2026/03/Memberlist_website26.xlsx</x:v>
      </x:c>
      <x:c r="D14" s="8" t="str">
        <x:v>Validate whether branch reporting, reconciliation or document review needs integration with existing systems; no software gap is established.</x:v>
      </x:c>
      <x:c r="E14" s="8" t="str">
        <x:v>info@avantifinance.incustomerservice</x:v>
      </x:c>
      <x:c r="F14" s="8" t="str">
        <x:v>generic</x:v>
      </x:c>
      <x:c r="G14" s="8" t="str">
        <x:v>https://www.avantifinance.in/contact/</x:v>
      </x:c>
      <x:c r="H14" s="8" t="str">
        <x:v>Verify direct business contact and discovery need.</x:v>
      </x:c>
      <x:c r="I14" s="8" t="str">
        <x:v>Specific software or AI need; Budget and project timing; Purchasing authority; Prior outreach and do-not-contact history; Email deliverability</x:v>
      </x:c>
      <x:c r="J14" s="8" t="str">
        <x:v>https://www.sa-dhan.net/wp-content/uploads/2026/03/Memberlist_website26.xlsx</x:v>
      </x:c>
      <x:c r="K14"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[S018]
contact_route: 5 — Official generic business inbox or contact page; requires routing to the relevant executive. [S019]</x:v>
      </x:c>
    </x:row>
    <x:row r="15" ht="96" hidden="0" customHeight="1">
      <x:c r="A15" s="3" t="str">
        <x:v>L010</x:v>
      </x:c>
      <x:c r="B15" s="3" t="str">
        <x:v>Aviral Finance Pvt Ltd</x:v>
      </x:c>
      <x:c r="C15" s="3" t="str">
        <x:v>Sa-Dhan’s March 2026 list includes the organisation under NBFC - MFI in Chhattisgarh.
https://www.sa-dhan.net/wp-content/uploads/2026/03/Memberlist_website26.xlsx</x:v>
      </x:c>
      <x:c r="D15" s="3" t="str">
        <x:v>Validate whether branch reporting, reconciliation or document review needs integration with existing systems; no software gap is established.</x:v>
      </x:c>
      <x:c r="E15" s="3" t="str">
        <x:v>info@aviralfinance.com</x:v>
      </x:c>
      <x:c r="F15" s="3" t="str">
        <x:v>generic</x:v>
      </x:c>
      <x:c r="G15" s="3" t="str">
        <x:v>https://aviralfinance.com/contact-us/</x:v>
      </x:c>
      <x:c r="H15" s="3" t="str">
        <x:v>Verify direct business contact and discovery need.</x:v>
      </x:c>
      <x:c r="I15" s="3" t="str">
        <x:v>Specific software or AI need; Budget and project timing; Purchasing authority; Prior outreach and do-not-contact history; Email deliverability</x:v>
      </x:c>
      <x:c r="J15" s="3" t="str">
        <x:v>https://www.sa-dhan.net/wp-content/uploads/2026/03/Memberlist_website26.xlsx</x:v>
      </x:c>
      <x:c r="K1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[S020]
contact_route: 5 — Official generic business inbox or contact page; requires routing to the relevant executive. [S021]</x:v>
      </x:c>
    </x:row>
    <x:row r="16" ht="96" hidden="0" customHeight="1">
      <x:c r="A16" s="8" t="str">
        <x:v>L011</x:v>
      </x:c>
      <x:c r="B16" s="8" t="str">
        <x:v>Digamber Capfin Ltd</x:v>
      </x:c>
      <x:c r="C16" s="8" t="str">
        <x:v>Sa-Dhan’s March 2026 list includes the organisation under NBFC - MFI in Rajasthan.
https://www.sa-dhan.net/wp-content/uploads/2026/03/Memberlist_website26.xlsx</x:v>
      </x:c>
      <x:c r="D16" s="8" t="str">
        <x:v>Validate whether branch reporting, reconciliation or document review needs integration with existing systems; no software gap is established.</x:v>
      </x:c>
      <x:c r="E16" s="8" t="str">
        <x:v>info@digamberfinance.com</x:v>
      </x:c>
      <x:c r="F16" s="8" t="str">
        <x:v>generic</x:v>
      </x:c>
      <x:c r="G16" s="8" t="str">
        <x:v>https://www.digamberfinance.com/contact.php</x:v>
      </x:c>
      <x:c r="H16" s="8" t="str">
        <x:v>Verify direct business contact and discovery need.</x:v>
      </x:c>
      <x:c r="I16" s="8" t="str">
        <x:v>Specific software or AI need; Budget and project timing; Purchasing authority; Prior outreach and do-not-contact history; Email deliverability</x:v>
      </x:c>
      <x:c r="J16" s="8" t="str">
        <x:v>https://www.sa-dhan.net/wp-content/uploads/2026/03/Memberlist_website26.xlsx</x:v>
      </x:c>
      <x:c r="K16"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[S028]
contact_route: 5 — Official generic business inbox or contact page; requires routing to the relevant executive. [S029]</x:v>
      </x:c>
    </x:row>
    <x:row r="17" ht="96" hidden="0" customHeight="1">
      <x:c r="A17" s="3" t="str">
        <x:v>L012</x:v>
      </x:c>
      <x:c r="B17" s="3" t="str">
        <x:v>Dvara Kshetriya Gramin Financial Services Private Limited</x:v>
      </x:c>
      <x:c r="C17" s="3" t="str">
        <x:v>Sa-Dhan’s March 2026 list includes the organisation under NBFC in Tamil Nadu.
https://www.sa-dhan.net/wp-content/uploads/2026/03/Memberlist_website26.xlsx</x:v>
      </x:c>
      <x:c r="D17" s="3" t="str">
        <x:v>Validate whether branch reporting, reconciliation or document review needs integration with existing systems; no software gap is established.</x:v>
      </x:c>
      <x:c r="E17" s="3" t="str">
        <x:v>info@dvarakgfs.com</x:v>
      </x:c>
      <x:c r="F17" s="3" t="str">
        <x:v>generic</x:v>
      </x:c>
      <x:c r="G17" s="3" t="str">
        <x:v>https://www.dvarakgfs.com/contact_us</x:v>
      </x:c>
      <x:c r="H17" s="3" t="str">
        <x:v>Verify direct business contact and discovery need.</x:v>
      </x:c>
      <x:c r="I17" s="3" t="str">
        <x:v>Specific software or AI need; Budget and project timing; Purchasing authority; Prior outreach and do-not-contact history; Email deliverability</x:v>
      </x:c>
      <x:c r="J17" s="3" t="str">
        <x:v>https://www.sa-dhan.net/wp-content/uploads/2026/03/Memberlist_website26.xlsx</x:v>
      </x:c>
      <x:c r="K17"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
contact_route: 5 — Official generic business inbox or contact page; requires routing to the relevant executive. [S030]</x:v>
      </x:c>
    </x:row>
    <x:row r="18" ht="96" hidden="0" customHeight="1">
      <x:c r="A18" s="8" t="str">
        <x:v>L013</x:v>
      </x:c>
      <x:c r="B18" s="8" t="str">
        <x:v>Finsigma Inclusive Services Private Limited</x:v>
      </x:c>
      <x:c r="C18" s="8" t="str">
        <x:v>Sa-Dhan’s March 2026 list includes the organisation under Company / Business Correspondent in Tamil Nadu.
https://www.sa-dhan.net/wp-content/uploads/2026/03/Memberlist_website26.xlsx</x:v>
      </x:c>
      <x:c r="D18" s="8" t="str">
        <x:v>Validate whether branch reporting, reconciliation or document review needs integration with existing systems; no software gap is established.</x:v>
      </x:c>
      <x:c r="E18" s="8" t="str">
        <x:v>info@finsigma.com</x:v>
      </x:c>
      <x:c r="F18" s="8" t="str">
        <x:v>generic</x:v>
      </x:c>
      <x:c r="G18" s="8" t="str">
        <x:v>https://www.finsigma.com/contact_us.html</x:v>
      </x:c>
      <x:c r="H18" s="8" t="str">
        <x:v>Verify direct business contact and discovery need.</x:v>
      </x:c>
      <x:c r="I18" s="8" t="str">
        <x:v>Specific software or AI need; Budget and project timing; Purchasing authority; Prior outreach and do-not-contact history; Email deliverability</x:v>
      </x:c>
      <x:c r="J18" s="8" t="str">
        <x:v>https://www.sa-dhan.net/wp-content/uploads/2026/03/Memberlist_website26.xlsx</x:v>
      </x:c>
      <x:c r="K18"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[S031]
contact_route: 5 — Official generic business inbox or contact page; requires routing to the relevant executive. [S032]</x:v>
      </x:c>
    </x:row>
    <x:row r="19" ht="96" hidden="0" customHeight="1">
      <x:c r="A19" s="3" t="str">
        <x:v>L014</x:v>
      </x:c>
      <x:c r="B19" s="3" t="str">
        <x:v>Friends Capital Services Limited</x:v>
      </x:c>
      <x:c r="C19" s="3" t="str">
        <x:v>Sa-Dhan’s March 2026 list includes the organisation under NBFC in Uttar Pradesh.
https://www.sa-dhan.net/wp-content/uploads/2026/03/Memberlist_website26.xlsx</x:v>
      </x:c>
      <x:c r="D19" s="3" t="str">
        <x:v>Validate whether branch reporting, reconciliation or document review needs integration with existing systems; no software gap is established.</x:v>
      </x:c>
      <x:c r="E19" s="3" t="str">
        <x:v>info@friendscapital.in</x:v>
      </x:c>
      <x:c r="F19" s="3" t="str">
        <x:v>generic</x:v>
      </x:c>
      <x:c r="G19" s="3" t="str">
        <x:v>https://friendscapital.in/contact-us/</x:v>
      </x:c>
      <x:c r="H19" s="3" t="str">
        <x:v>Verify direct business contact and discovery need.</x:v>
      </x:c>
      <x:c r="I19" s="3" t="str">
        <x:v>Specific software or AI need; Budget and project timing; Purchasing authority; Prior outreach and do-not-contact history; Email deliverability</x:v>
      </x:c>
      <x:c r="J19" s="3" t="str">
        <x:v>https://www.sa-dhan.net/wp-content/uploads/2026/03/Memberlist_website26.xlsx</x:v>
      </x:c>
      <x:c r="K19"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[S033]
contact_route: 5 — Official generic business inbox or contact page; requires routing to the relevant executive. [S034]</x:v>
      </x:c>
    </x:row>
    <x:row r="20" ht="96" hidden="0" customHeight="1">
      <x:c r="A20" s="8" t="str">
        <x:v>L015</x:v>
      </x:c>
      <x:c r="B20" s="8" t="str">
        <x:v>Grameen Development &amp; Finance Pvt. Ltd.</x:v>
      </x:c>
      <x:c r="C20" s="8" t="str">
        <x:v>Sa-Dhan’s March 2026 list includes the organisation under NBFC - MFI in Assam.
https://www.sa-dhan.net/wp-content/uploads/2026/03/Memberlist_website26.xlsx</x:v>
      </x:c>
      <x:c r="D20" s="8" t="str">
        <x:v>Validate whether branch reporting, reconciliation or document review needs integration with existing systems; no software gap is established.</x:v>
      </x:c>
      <x:c r="E20" s="8" t="str">
        <x:v>Not established</x:v>
      </x:c>
      <x:c r="F20" s="8" t="str">
        <x:v>generic</x:v>
      </x:c>
      <x:c r="G20" s="8" t="str">
        <x:v>https://www.gdfpl.com/contact-us.html</x:v>
      </x:c>
      <x:c r="H20" s="8" t="str">
        <x:v>Verify direct business contact and discovery need.</x:v>
      </x:c>
      <x:c r="I20" s="8" t="str">
        <x:v>Specific software or AI need; Budget and project timing; Purchasing authority; Prior outreach and do-not-contact history; Email deliverability</x:v>
      </x:c>
      <x:c r="J20" s="8" t="str">
        <x:v>https://www.sa-dhan.net/wp-content/uploads/2026/03/Memberlist_website26.xlsx</x:v>
      </x:c>
      <x:c r="K20"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[S035]
contact_route: 5 — Official generic business inbox or contact page; requires routing to the relevant executive. [S036]</x:v>
      </x:c>
    </x:row>
    <x:row r="21" ht="96" hidden="0" customHeight="1">
      <x:c r="A21" s="3" t="str">
        <x:v>L016</x:v>
      </x:c>
      <x:c r="B21" s="3" t="str">
        <x:v>Grameen Shakti Microfinance Services Pvt. Ltd</x:v>
      </x:c>
      <x:c r="C21" s="3" t="str">
        <x:v>Sa-Dhan’s March 2026 list includes the organisation under NBFC - MFI in West Bengal.
https://www.sa-dhan.net/wp-content/uploads/2026/03/Memberlist_website26.xlsx</x:v>
      </x:c>
      <x:c r="D21" s="3" t="str">
        <x:v>Validate whether branch reporting, reconciliation or document review needs integration with existing systems; no software gap is established.</x:v>
      </x:c>
      <x:c r="E21" s="3" t="str">
        <x:v>info@grameenshakti.co.in</x:v>
      </x:c>
      <x:c r="F21" s="3" t="str">
        <x:v>generic</x:v>
      </x:c>
      <x:c r="G21" s="3" t="str">
        <x:v>https://grameenshakti.co.in/contact/</x:v>
      </x:c>
      <x:c r="H21" s="3" t="str">
        <x:v>Verify direct business contact and discovery need.</x:v>
      </x:c>
      <x:c r="I21" s="3" t="str">
        <x:v>Specific software or AI need; Budget and project timing; Purchasing authority; Prior outreach and do-not-contact history; Email deliverability</x:v>
      </x:c>
      <x:c r="J21" s="3" t="str">
        <x:v>https://www.sa-dhan.net/wp-content/uploads/2026/03/Memberlist_website26.xlsx</x:v>
      </x:c>
      <x:c r="K2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[S037]
contact_route: 5 — Official generic business inbox or contact page; requires routing to the relevant executive. [S038]</x:v>
      </x:c>
    </x:row>
    <x:row r="22" ht="96" hidden="0" customHeight="1">
      <x:c r="A22" s="8" t="str">
        <x:v>L017</x:v>
      </x:c>
      <x:c r="B22" s="8" t="str">
        <x:v>Jagaran Microfin Private Limited</x:v>
      </x:c>
      <x:c r="C22" s="8" t="str">
        <x:v>Sa-Dhan’s March 2026 list includes the organisation under NBFC - MFI in West Bengal.
https://www.sa-dhan.net/wp-content/uploads/2026/03/Memberlist_website26.xlsx</x:v>
      </x:c>
      <x:c r="D22" s="8" t="str">
        <x:v>Validate whether branch reporting, reconciliation or document review needs integration with existing systems; no software gap is established.</x:v>
      </x:c>
      <x:c r="E22" s="8" t="str">
        <x:v>info@jagaranmf.com</x:v>
      </x:c>
      <x:c r="F22" s="8" t="str">
        <x:v>generic</x:v>
      </x:c>
      <x:c r="G22" s="8" t="str">
        <x:v>https://jagaranmf.com/</x:v>
      </x:c>
      <x:c r="H22" s="8" t="str">
        <x:v>Verify direct business contact and discovery need.</x:v>
      </x:c>
      <x:c r="I22" s="8" t="str">
        <x:v>Specific software or AI need; Budget and project timing; Purchasing authority; Prior outreach and do-not-contact history; Email deliverability</x:v>
      </x:c>
      <x:c r="J22" s="8" t="str">
        <x:v>https://www.sa-dhan.net/wp-content/uploads/2026/03/Memberlist_website26.xlsx</x:v>
      </x:c>
      <x:c r="K22"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[S044]
contact_route: 5 — Official generic business inbox or contact page; requires routing to the relevant executive. [S045]</x:v>
      </x:c>
    </x:row>
    <x:row r="23" ht="96" hidden="0" customHeight="1">
      <x:c r="A23" s="3" t="str">
        <x:v>L018</x:v>
      </x:c>
      <x:c r="B23" s="3" t="str">
        <x:v>Janashree Microfin Limited</x:v>
      </x:c>
      <x:c r="C23" s="3" t="str">
        <x:v>Sa-Dhan’s March 2026 list includes the organisation under NBFC - MFI in Kerala.
https://www.sa-dhan.net/wp-content/uploads/2026/03/Memberlist_website26.xlsx</x:v>
      </x:c>
      <x:c r="D23" s="3" t="str">
        <x:v>Validate whether branch reporting, reconciliation or document review needs integration with existing systems; no software gap is established.</x:v>
      </x:c>
      <x:c r="E23" s="3" t="str">
        <x:v>info@janashreemicrofinltd.com</x:v>
      </x:c>
      <x:c r="F23" s="3" t="str">
        <x:v>generic</x:v>
      </x:c>
      <x:c r="G23" s="3" t="str">
        <x:v>https://janashreemicrofinltd.com/contact/</x:v>
      </x:c>
      <x:c r="H23" s="3" t="str">
        <x:v>Verify direct business contact and discovery need.</x:v>
      </x:c>
      <x:c r="I23" s="3" t="str">
        <x:v>Specific software or AI need; Budget and project timing; Purchasing authority; Prior outreach and do-not-contact history; Email deliverability</x:v>
      </x:c>
      <x:c r="J23" s="3" t="str">
        <x:v>https://www.sa-dhan.net/wp-content/uploads/2026/03/Memberlist_website26.xlsx</x:v>
      </x:c>
      <x:c r="K2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[S046]
contact_route: 5 — Official generic business inbox or contact page; requires routing to the relevant executive. [S047]</x:v>
      </x:c>
    </x:row>
    <x:row r="24" ht="96" hidden="0" customHeight="1">
      <x:c r="A24" s="8" t="str">
        <x:v>L019</x:v>
      </x:c>
      <x:c r="B24" s="8" t="str">
        <x:v>Jeevan Utthan Financial Services Private Limited</x:v>
      </x:c>
      <x:c r="C24" s="8" t="str">
        <x:v>Sa-Dhan’s March 2026 list includes the organisation under NBFC in West Bengal.
https://www.sa-dhan.net/wp-content/uploads/2026/03/Memberlist_website26.xlsx</x:v>
      </x:c>
      <x:c r="D24" s="8" t="str">
        <x:v>Validate whether branch reporting, reconciliation or document review needs integration with existing systems; no software gap is established.</x:v>
      </x:c>
      <x:c r="E24" s="8" t="str">
        <x:v>head.office@jeevanutthan.in</x:v>
      </x:c>
      <x:c r="F24" s="8" t="str">
        <x:v>generic</x:v>
      </x:c>
      <x:c r="G24" s="8" t="str">
        <x:v>https://www.jeevanutthan.in/contact.php</x:v>
      </x:c>
      <x:c r="H24" s="8" t="str">
        <x:v>Verify direct business contact and discovery need.</x:v>
      </x:c>
      <x:c r="I24" s="8" t="str">
        <x:v>Specific software or AI need; Budget and project timing; Purchasing authority; Prior outreach and do-not-contact history; Email deliverability</x:v>
      </x:c>
      <x:c r="J24" s="8" t="str">
        <x:v>https://www.sa-dhan.net/wp-content/uploads/2026/03/Memberlist_website26.xlsx</x:v>
      </x:c>
      <x:c r="K24"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[S048]
contact_route: 5 — Official generic business inbox or contact page; requires routing to the relevant executive. [S049]</x:v>
      </x:c>
    </x:row>
    <x:row r="25" ht="96" hidden="0" customHeight="1">
      <x:c r="A25" s="3" t="str">
        <x:v>L020</x:v>
      </x:c>
      <x:c r="B25" s="3" t="str">
        <x:v>Keshava Prabha Microfin Private Limited.</x:v>
      </x:c>
      <x:c r="C25" s="3" t="str">
        <x:v>Sa-Dhan’s March 2026 list includes the organisation under NBFC - MFI in Kerala.
https://www.sa-dhan.net/wp-content/uploads/2026/03/Memberlist_website26.xlsx</x:v>
      </x:c>
      <x:c r="D25" s="3" t="str">
        <x:v>Validate whether branch reporting, reconciliation or document review needs integration with existing systems; no software gap is established.</x:v>
      </x:c>
      <x:c r="E25" s="3" t="str">
        <x:v>Not established</x:v>
      </x:c>
      <x:c r="F25" s="3" t="str">
        <x:v>generic</x:v>
      </x:c>
      <x:c r="G25" s="3" t="str">
        <x:v>https://kpmicrofin.in/contact-us</x:v>
      </x:c>
      <x:c r="H25" s="3" t="str">
        <x:v>Verify direct business contact and discovery need.</x:v>
      </x:c>
      <x:c r="I25" s="3" t="str">
        <x:v>Specific software or AI need; Budget and project timing; Purchasing authority; Prior outreach and do-not-contact history; Email deliverability</x:v>
      </x:c>
      <x:c r="J25" s="3" t="str">
        <x:v>https://www.sa-dhan.net/wp-content/uploads/2026/03/Memberlist_website26.xlsx</x:v>
      </x:c>
      <x:c r="K2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[S050]
contact_route: 5 — Official generic business inbox or contact page; requires routing to the relevant executive. [S051]</x:v>
      </x:c>
    </x:row>
    <x:row r="26" ht="96" hidden="0" customHeight="1">
      <x:c r="A26" s="8" t="str">
        <x:v>L021</x:v>
      </x:c>
      <x:c r="B26" s="8" t="str">
        <x:v>KSR Capital Services Ltd</x:v>
      </x:c>
      <x:c r="C26" s="8" t="str">
        <x:v>Sa-Dhan’s March 2026 list includes the organisation under NBFC in Haryana.
https://www.sa-dhan.net/wp-content/uploads/2026/03/Memberlist_website26.xlsx</x:v>
      </x:c>
      <x:c r="D26" s="8" t="str">
        <x:v>Validate whether branch reporting, reconciliation or document review needs integration with existing systems; no software gap is established.</x:v>
      </x:c>
      <x:c r="E26" s="8" t="str">
        <x:v>Not established</x:v>
      </x:c>
      <x:c r="F26" s="8" t="str">
        <x:v>generic</x:v>
      </x:c>
      <x:c r="G26" s="8" t="str">
        <x:v>https://ksrcsl.com/contact-us.html</x:v>
      </x:c>
      <x:c r="H26" s="8" t="str">
        <x:v>Verify direct business contact and discovery need.</x:v>
      </x:c>
      <x:c r="I26" s="8" t="str">
        <x:v>Specific software or AI need; Budget and project timing; Purchasing authority; Prior outreach and do-not-contact history; Email deliverability</x:v>
      </x:c>
      <x:c r="J26" s="8" t="str">
        <x:v>https://www.sa-dhan.net/wp-content/uploads/2026/03/Memberlist_website26.xlsx</x:v>
      </x:c>
      <x:c r="K26"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[S052]
contact_route: 5 — Official generic business inbox or contact page; requires routing to the relevant executive. [S053]</x:v>
      </x:c>
    </x:row>
    <x:row r="27" ht="96" hidden="0" customHeight="1">
      <x:c r="A27" s="3" t="str">
        <x:v>L022</x:v>
      </x:c>
      <x:c r="B27" s="3" t="str">
        <x:v>Magalir Micro Capital Private Limited</x:v>
      </x:c>
      <x:c r="C27" s="3" t="str">
        <x:v>Sa-Dhan’s March 2026 list includes the organisation under NBFC - MFI in Tamil Nadu.
https://www.sa-dhan.net/wp-content/uploads/2026/03/Memberlist_website26.xlsx</x:v>
      </x:c>
      <x:c r="D27" s="3" t="str">
        <x:v>Validate whether branch reporting, reconciliation or document review needs integration with existing systems; no software gap is established.</x:v>
      </x:c>
      <x:c r="E27" s="3" t="str">
        <x:v>Not established</x:v>
      </x:c>
      <x:c r="F27" s="3" t="str">
        <x:v>generic</x:v>
      </x:c>
      <x:c r="G27" s="3" t="str">
        <x:v>https://magalir.net/contact-us/</x:v>
      </x:c>
      <x:c r="H27" s="3" t="str">
        <x:v>Verify direct business contact and discovery need.</x:v>
      </x:c>
      <x:c r="I27" s="3" t="str">
        <x:v>Specific software or AI need; Budget and project timing; Purchasing authority; Prior outreach and do-not-contact history; Email deliverability</x:v>
      </x:c>
      <x:c r="J27" s="3" t="str">
        <x:v>https://www.sa-dhan.net/wp-content/uploads/2026/03/Memberlist_website26.xlsx</x:v>
      </x:c>
      <x:c r="K27"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[S055]
contact_route: 5 — Official generic business inbox or contact page; requires routing to the relevant executive. [S056]</x:v>
      </x:c>
    </x:row>
    <x:row r="28" ht="96" hidden="0" customHeight="1">
      <x:c r="A28" s="8" t="str">
        <x:v>L023</x:v>
      </x:c>
      <x:c r="B28" s="8" t="str">
        <x:v>Midland Microfin Ltd</x:v>
      </x:c>
      <x:c r="C28" s="8" t="str">
        <x:v>Sa-Dhan’s March 2026 list includes the organisation under NBFC - MFI in Punjab.
https://www.sa-dhan.net/wp-content/uploads/2026/03/Memberlist_website26.xlsx</x:v>
      </x:c>
      <x:c r="D28" s="8" t="str">
        <x:v>Validate whether branch reporting, reconciliation or document review needs integration with existing systems; no software gap is established.</x:v>
      </x:c>
      <x:c r="E28" s="8" t="str">
        <x:v>info@midlandmicrofin.com</x:v>
      </x:c>
      <x:c r="F28" s="8" t="str">
        <x:v>generic</x:v>
      </x:c>
      <x:c r="G28" s="8" t="str">
        <x:v>https://midlandmicrofin.com/contact-for-investor-griveances/</x:v>
      </x:c>
      <x:c r="H28" s="8" t="str">
        <x:v>Verify direct business contact and discovery need.</x:v>
      </x:c>
      <x:c r="I28" s="8" t="str">
        <x:v>Specific software or AI need; Budget and project timing; Purchasing authority; Prior outreach and do-not-contact history; Email deliverability</x:v>
      </x:c>
      <x:c r="J28" s="8" t="str">
        <x:v>https://www.sa-dhan.net/wp-content/uploads/2026/03/Memberlist_website26.xlsx</x:v>
      </x:c>
      <x:c r="K28"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[S058]
contact_route: 5 — Official generic business inbox or contact page; requires routing to the relevant executive. [S059]</x:v>
      </x:c>
    </x:row>
    <x:row r="29" ht="96" hidden="0" customHeight="1">
      <x:c r="A29" s="3" t="str">
        <x:v>L024</x:v>
      </x:c>
      <x:c r="B29" s="3" t="str">
        <x:v>MUTHOOT MICROFIN LIMITED</x:v>
      </x:c>
      <x:c r="C29" s="3" t="str">
        <x:v>Sa-Dhan’s March 2026 list includes the organisation under NBFC - MFI in Delhi.
https://www.sa-dhan.net/wp-content/uploads/2026/03/Memberlist_website26.xlsx</x:v>
      </x:c>
      <x:c r="D29" s="3" t="str">
        <x:v>Validate whether branch reporting, reconciliation or document review needs integration with existing systems; no software gap is established.</x:v>
      </x:c>
      <x:c r="E29" s="3" t="str">
        <x:v>Not established</x:v>
      </x:c>
      <x:c r="F29" s="3" t="str">
        <x:v>generic</x:v>
      </x:c>
      <x:c r="G29" s="3" t="str">
        <x:v>https://www.muthootmicrofin.com/contact</x:v>
      </x:c>
      <x:c r="H29" s="3" t="str">
        <x:v>Verify direct business contact and discovery need.</x:v>
      </x:c>
      <x:c r="I29" s="3" t="str">
        <x:v>Specific software or AI need; Budget and project timing; Purchasing authority; Prior outreach and do-not-contact history; Email deliverability</x:v>
      </x:c>
      <x:c r="J29" s="3" t="str">
        <x:v>https://www.sa-dhan.net/wp-content/uploads/2026/03/Memberlist_website26.xlsx</x:v>
      </x:c>
      <x:c r="K29"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
contact_route: 5 — Official generic business inbox or contact page; requires routing to the relevant executive. [S061]</x:v>
      </x:c>
    </x:row>
    <x:row r="30" ht="96" hidden="0" customHeight="1">
      <x:c r="A30" s="8" t="str">
        <x:v>L025</x:v>
      </x:c>
      <x:c r="B30" s="8" t="str">
        <x:v>Namra Finance Limited</x:v>
      </x:c>
      <x:c r="C30" s="8" t="str">
        <x:v>Public leadership evidence identifies Manoj Jha as Head IT Planning &amp; Strategy at Namra Finance Limited.
https://www.namrafinance.com/management.aspx</x:v>
      </x:c>
      <x:c r="D30" s="8" t="str">
        <x:v>Validate whether branch reporting, reconciliation or document review needs integration with existing systems; no software gap is established.</x:v>
      </x:c>
      <x:c r="E30" s="8" t="str">
        <x:v>ho@namrafinance.com</x:v>
      </x:c>
      <x:c r="F30" s="8" t="str">
        <x:v>generic</x:v>
      </x:c>
      <x:c r="G30" s="8" t="str">
        <x:v>https://www.namrafinance.com/management.aspx</x:v>
      </x:c>
      <x:c r="H30" s="8" t="str">
        <x:v>Verify an appropriate business contact route and validate need before drafting.</x:v>
      </x:c>
      <x:c r="I30" s="8" t="str">
        <x:v>Specific software or AI need; Budget and project timing; Purchasing authority; Prior outreach and do-not-contact history; Email deliverability</x:v>
      </x:c>
      <x:c r="J30" s="8" t="str">
        <x:v>https://www.namrafinance.com/management.aspx</x:v>
      </x:c>
      <x:c r="K30" s="8" t="str">
        <x:v>service_fit: 15 — Broad finance-operations fit; no specific software gap or outsourcing interest established. [S148]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[S148]
contact_route: 5 — Published generic business inbox; not the named executive’s direct email. [S148]</x:v>
      </x:c>
    </x:row>
    <x:row r="31" ht="96" hidden="0" customHeight="1">
      <x:c r="A31" s="3" t="str">
        <x:v>L026</x:v>
      </x:c>
      <x:c r="B31" s="3" t="str">
        <x:v>Navachetana Microfin Services Limited</x:v>
      </x:c>
      <x:c r="C31" s="3" t="str">
        <x:v>Sa-Dhan’s March 2026 list includes the organisation under NBFC - MFI in Karnataka.
https://www.sa-dhan.net/wp-content/uploads/2026/03/Memberlist_website26.xlsx</x:v>
      </x:c>
      <x:c r="D31" s="3" t="str">
        <x:v>Validate whether branch reporting, reconciliation or document review needs integration with existing systems; no software gap is established.</x:v>
      </x:c>
      <x:c r="E31" s="3" t="str">
        <x:v>Not established</x:v>
      </x:c>
      <x:c r="F31" s="3" t="str">
        <x:v>generic</x:v>
      </x:c>
      <x:c r="G31" s="3" t="str">
        <x:v>https://www.navachetana.in/contact-details/</x:v>
      </x:c>
      <x:c r="H31" s="3" t="str">
        <x:v>Verify direct business contact and discovery need.</x:v>
      </x:c>
      <x:c r="I31" s="3" t="str">
        <x:v>Specific software or AI need; Budget and project timing; Purchasing authority; Prior outreach and do-not-contact history; Email deliverability</x:v>
      </x:c>
      <x:c r="J31" s="3" t="str">
        <x:v>https://www.sa-dhan.net/wp-content/uploads/2026/03/Memberlist_website26.xlsx</x:v>
      </x:c>
      <x:c r="K3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[S064]
contact_route: 5 — Official generic business inbox or contact page; requires routing to the relevant executive. [S065]</x:v>
      </x:c>
    </x:row>
    <x:row r="32" ht="96" hidden="0" customHeight="1">
      <x:c r="A32" s="8" t="str">
        <x:v>L027</x:v>
      </x:c>
      <x:c r="B32" s="8" t="str">
        <x:v>Nightingale Finvest Pvt. Ltd.</x:v>
      </x:c>
      <x:c r="C32" s="8" t="str">
        <x:v>Sa-Dhan’s March 2026 list includes the organisation under NBFC - MFI in Assam.
https://www.sa-dhan.net/wp-content/uploads/2026/03/Memberlist_website26.xlsx</x:v>
      </x:c>
      <x:c r="D32" s="8" t="str">
        <x:v>Validate whether branch reporting, reconciliation or document review needs integration with existing systems; no software gap is established.</x:v>
      </x:c>
      <x:c r="E32" s="8" t="str">
        <x:v>Not established</x:v>
      </x:c>
      <x:c r="F32" s="8" t="str">
        <x:v>generic</x:v>
      </x:c>
      <x:c r="G32" s="8" t="str">
        <x:v>https://nightingalefinvest.in/contact-us/</x:v>
      </x:c>
      <x:c r="H32" s="8" t="str">
        <x:v>Verify direct business contact and discovery need.</x:v>
      </x:c>
      <x:c r="I32" s="8" t="str">
        <x:v>Specific software or AI need; Budget and project timing; Purchasing authority; Prior outreach and do-not-contact history; Email deliverability</x:v>
      </x:c>
      <x:c r="J32" s="8" t="str">
        <x:v>https://www.sa-dhan.net/wp-content/uploads/2026/03/Memberlist_website26.xlsx</x:v>
      </x:c>
      <x:c r="K32"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[S067]
contact_route: 5 — Official generic business inbox or contact page; requires routing to the relevant executive. [S068]</x:v>
      </x:c>
    </x:row>
    <x:row r="33" ht="96" hidden="0" customHeight="1">
      <x:c r="A33" s="3" t="str">
        <x:v>L028</x:v>
      </x:c>
      <x:c r="B33" s="3" t="str">
        <x:v>PAFT FINANCE LIMITED</x:v>
      </x:c>
      <x:c r="C33" s="3" t="str">
        <x:v>Sa-Dhan’s March 2026 list includes the organisation under NBFC in Tamil Nadu.
https://www.sa-dhan.net/wp-content/uploads/2026/03/Memberlist_website26.xlsx</x:v>
      </x:c>
      <x:c r="D33" s="3" t="str">
        <x:v>Validate whether branch reporting, reconciliation or document review needs integration with existing systems; no software gap is established.</x:v>
      </x:c>
      <x:c r="E33" s="3" t="str">
        <x:v>Not established</x:v>
      </x:c>
      <x:c r="F33" s="3" t="str">
        <x:v>generic</x:v>
      </x:c>
      <x:c r="G33" s="3" t="str">
        <x:v>https://patgroup.org/contact.php</x:v>
      </x:c>
      <x:c r="H33" s="3" t="str">
        <x:v>Verify direct business contact and discovery need.</x:v>
      </x:c>
      <x:c r="I33" s="3" t="str">
        <x:v>Specific software or AI need; Budget and project timing; Purchasing authority; Prior outreach and do-not-contact history; Email deliverability</x:v>
      </x:c>
      <x:c r="J33" s="3" t="str">
        <x:v>https://www.sa-dhan.net/wp-content/uploads/2026/03/Memberlist_website26.xlsx</x:v>
      </x:c>
      <x:c r="K3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[S071]
contact_route: 5 — Official generic business inbox or contact page; requires routing to the relevant executive. [S072]</x:v>
      </x:c>
    </x:row>
    <x:row r="34" ht="96" hidden="0" customHeight="1">
      <x:c r="A34" s="8" t="str">
        <x:v>L029</x:v>
      </x:c>
      <x:c r="B34" s="8" t="str">
        <x:v>Pahal Financial Services Pvt Ltd</x:v>
      </x:c>
      <x:c r="C34" s="8" t="str">
        <x:v>Sa-Dhan’s March 2026 list includes the organisation under NBFC - MFI in Gujarat.
https://www.sa-dhan.net/wp-content/uploads/2026/03/Memberlist_website26.xlsx</x:v>
      </x:c>
      <x:c r="D34" s="8" t="str">
        <x:v>Validate whether branch reporting, reconciliation or document review needs integration with existing systems; no software gap is established.</x:v>
      </x:c>
      <x:c r="E34" s="8" t="str">
        <x:v>ho@pahalfinance.com</x:v>
      </x:c>
      <x:c r="F34" s="8" t="str">
        <x:v>generic</x:v>
      </x:c>
      <x:c r="G34" s="8" t="str">
        <x:v>https://pahalfinance.com/</x:v>
      </x:c>
      <x:c r="H34" s="8" t="str">
        <x:v>Verify direct business contact and discovery need.</x:v>
      </x:c>
      <x:c r="I34" s="8" t="str">
        <x:v>Specific software or AI need; Budget and project timing; Purchasing authority; Prior outreach and do-not-contact history; Email deliverability</x:v>
      </x:c>
      <x:c r="J34" s="8" t="str">
        <x:v>https://www.sa-dhan.net/wp-content/uploads/2026/03/Memberlist_website26.xlsx</x:v>
      </x:c>
      <x:c r="K34"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[S073]
contact_route: 5 — Official generic business inbox or contact page; requires routing to the relevant executive. [S074]</x:v>
      </x:c>
    </x:row>
    <x:row r="35" ht="96" hidden="0" customHeight="1">
      <x:c r="A35" s="3" t="str">
        <x:v>L030</x:v>
      </x:c>
      <x:c r="B35" s="3" t="str">
        <x:v>Pratyancha Financial Services Limited.</x:v>
      </x:c>
      <x:c r="C35" s="3" t="str">
        <x:v>Sa-Dhan’s March 2026 list includes the organisation under NBFC in Uttar Pradesh.
https://www.sa-dhan.net/wp-content/uploads/2026/03/Memberlist_website26.xlsx</x:v>
      </x:c>
      <x:c r="D35" s="3" t="str">
        <x:v>Validate whether branch reporting, reconciliation or document review needs integration with existing systems; no software gap is established.</x:v>
      </x:c>
      <x:c r="E35" s="3" t="str">
        <x:v>Not established</x:v>
      </x:c>
      <x:c r="F35" s="3" t="str">
        <x:v>generic</x:v>
      </x:c>
      <x:c r="G35" s="3" t="str">
        <x:v>https://pratyancha.co.in/contact.html</x:v>
      </x:c>
      <x:c r="H35" s="3" t="str">
        <x:v>Verify direct business contact and discovery need.</x:v>
      </x:c>
      <x:c r="I35" s="3" t="str">
        <x:v>Specific software or AI need; Budget and project timing; Purchasing authority; Prior outreach and do-not-contact history; Email deliverability</x:v>
      </x:c>
      <x:c r="J35" s="3" t="str">
        <x:v>https://www.sa-dhan.net/wp-content/uploads/2026/03/Memberlist_website26.xlsx</x:v>
      </x:c>
      <x:c r="K3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[S077]
contact_route: 5 — Official generic business inbox or contact page; requires routing to the relevant executive. [S078]</x:v>
      </x:c>
    </x:row>
    <x:row r="36" ht="96" hidden="0" customHeight="1">
      <x:c r="A36" s="8" t="str">
        <x:v>L031</x:v>
      </x:c>
      <x:c r="B36" s="8" t="str">
        <x:v>Prayatna Microfinance Limited</x:v>
      </x:c>
      <x:c r="C36" s="8" t="str">
        <x:v>Sa-Dhan’s March 2026 list includes the organisation under NBFC - MFI in Delhi.
https://www.sa-dhan.net/wp-content/uploads/2026/03/Memberlist_website26.xlsx</x:v>
      </x:c>
      <x:c r="D36" s="8" t="str">
        <x:v>Validate whether branch reporting, reconciliation or document review needs integration with existing systems; no software gap is established.</x:v>
      </x:c>
      <x:c r="E36" s="8" t="str">
        <x:v>info@prayatnamicrofinance.com</x:v>
      </x:c>
      <x:c r="F36" s="8" t="str">
        <x:v>generic</x:v>
      </x:c>
      <x:c r="G36" s="8" t="str">
        <x:v>https://www.prayatnamicrofinance.com/contact/</x:v>
      </x:c>
      <x:c r="H36" s="8" t="str">
        <x:v>Verify direct business contact and discovery need.</x:v>
      </x:c>
      <x:c r="I36" s="8" t="str">
        <x:v>Specific software or AI need; Budget and project timing; Purchasing authority; Prior outreach and do-not-contact history; Email deliverability</x:v>
      </x:c>
      <x:c r="J36" s="8" t="str">
        <x:v>https://www.sa-dhan.net/wp-content/uploads/2026/03/Memberlist_website26.xlsx</x:v>
      </x:c>
      <x:c r="K36"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[S080]
contact_route: 5 — Official generic business inbox or contact page; requires routing to the relevant executive. [S081]</x:v>
      </x:c>
    </x:row>
    <x:row r="37" ht="96" hidden="0" customHeight="1">
      <x:c r="A37" s="3" t="str">
        <x:v>L032</x:v>
      </x:c>
      <x:c r="B37" s="3" t="str">
        <x:v>Sanghamithra Rural Financial Services</x:v>
      </x:c>
      <x:c r="C37" s="3" t="str">
        <x:v>Sa-Dhan’s March 2026 list includes the organisation under NBFC - MFI in Karnataka.
https://www.sa-dhan.net/wp-content/uploads/2026/03/Memberlist_website26.xlsx</x:v>
      </x:c>
      <x:c r="D37" s="3" t="str">
        <x:v>Validate whether branch reporting, reconciliation or document review needs integration with existing systems; no software gap is established.</x:v>
      </x:c>
      <x:c r="E37" s="3" t="str">
        <x:v>info@sanghamithra.org</x:v>
      </x:c>
      <x:c r="F37" s="3" t="str">
        <x:v>generic</x:v>
      </x:c>
      <x:c r="G37" s="3" t="str">
        <x:v>https://sanghamithra.org/contact-us/</x:v>
      </x:c>
      <x:c r="H37" s="3" t="str">
        <x:v>Verify direct business contact and discovery need.</x:v>
      </x:c>
      <x:c r="I37" s="3" t="str">
        <x:v>Specific software or AI need; Budget and project timing; Purchasing authority; Prior outreach and do-not-contact history; Email deliverability</x:v>
      </x:c>
      <x:c r="J37" s="3" t="str">
        <x:v>https://www.sa-dhan.net/wp-content/uploads/2026/03/Memberlist_website26.xlsx</x:v>
      </x:c>
      <x:c r="K37"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
contact_route: 5 — Official generic business inbox or contact page; requires routing to the relevant executive. [S090]</x:v>
      </x:c>
    </x:row>
    <x:row r="38" ht="96" hidden="0" customHeight="1">
      <x:c r="A38" s="8" t="str">
        <x:v>L033</x:v>
      </x:c>
      <x:c r="B38" s="8" t="str">
        <x:v>Sarala Development &amp; Microfinance Pvt Ltd</x:v>
      </x:c>
      <x:c r="C38" s="8" t="str">
        <x:v>Sa-Dhan’s March 2026 list includes the organisation under NBFC - MFI in West Bengal.
https://www.sa-dhan.net/wp-content/uploads/2026/03/Memberlist_website26.xlsx</x:v>
      </x:c>
      <x:c r="D38" s="8" t="str">
        <x:v>Validate whether branch reporting, reconciliation or document review needs integration with existing systems; no software gap is established.</x:v>
      </x:c>
      <x:c r="E38" s="8" t="str">
        <x:v>info@sarala.co.in</x:v>
      </x:c>
      <x:c r="F38" s="8" t="str">
        <x:v>generic</x:v>
      </x:c>
      <x:c r="G38" s="8" t="str">
        <x:v>https://sarala.co.in/contact/</x:v>
      </x:c>
      <x:c r="H38" s="8" t="str">
        <x:v>Verify direct business contact and discovery need.</x:v>
      </x:c>
      <x:c r="I38" s="8" t="str">
        <x:v>Specific software or AI need; Budget and project timing; Purchasing authority; Prior outreach and do-not-contact history; Email deliverability</x:v>
      </x:c>
      <x:c r="J38" s="8" t="str">
        <x:v>https://www.sa-dhan.net/wp-content/uploads/2026/03/Memberlist_website26.xlsx</x:v>
      </x:c>
      <x:c r="K38"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[S091]
contact_route: 5 — Official generic business inbox or contact page; requires routing to the relevant executive. [S092]</x:v>
      </x:c>
    </x:row>
    <x:row r="39" ht="96" hidden="0" customHeight="1">
      <x:c r="A39" s="3" t="str">
        <x:v>L034</x:v>
      </x:c>
      <x:c r="B39" s="3" t="str">
        <x:v>Satin Creditcare Network Limited</x:v>
      </x:c>
      <x:c r="C39" s="3" t="str">
        <x:v>Sa-Dhan’s March 2026 list includes the organisation under NBFC - MFI in Haryana.
https://www.sa-dhan.net/wp-content/uploads/2026/03/Memberlist_website26.xlsx</x:v>
      </x:c>
      <x:c r="D39" s="3" t="str">
        <x:v>Validate whether branch reporting, reconciliation or document review needs integration with existing systems; no software gap is established.</x:v>
      </x:c>
      <x:c r="E39" s="3" t="str">
        <x:v>info@satincreditcare.com</x:v>
      </x:c>
      <x:c r="F39" s="3" t="str">
        <x:v>generic</x:v>
      </x:c>
      <x:c r="G39" s="3" t="str">
        <x:v>https://satincreditcare.com/contact-us/</x:v>
      </x:c>
      <x:c r="H39" s="3" t="str">
        <x:v>Verify direct business contact and discovery need.</x:v>
      </x:c>
      <x:c r="I39" s="3" t="str">
        <x:v>Specific software or AI need; Budget and project timing; Purchasing authority; Prior outreach and do-not-contact history; Email deliverability</x:v>
      </x:c>
      <x:c r="J39" s="3" t="str">
        <x:v>https://www.sa-dhan.net/wp-content/uploads/2026/03/Memberlist_website26.xlsx</x:v>
      </x:c>
      <x:c r="K39"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
contact_route: 5 — Official generic business inbox or contact page; requires routing to the relevant executive. [S096]</x:v>
      </x:c>
    </x:row>
    <x:row r="40" ht="96" hidden="0" customHeight="1">
      <x:c r="A40" s="8" t="str">
        <x:v>L035</x:v>
      </x:c>
      <x:c r="B40" s="8" t="str">
        <x:v>Satya MicroCapital Limited</x:v>
      </x:c>
      <x:c r="C40" s="8" t="str">
        <x:v>Sa-Dhan’s March 2026 list includes the organisation under NBFC - MFI in Uttar Pradesh.
https://www.sa-dhan.net/wp-content/uploads/2026/03/Memberlist_website26.xlsx</x:v>
      </x:c>
      <x:c r="D40" s="8" t="str">
        <x:v>Validate whether branch reporting, reconciliation or document review needs integration with existing systems; no software gap is established.</x:v>
      </x:c>
      <x:c r="E40" s="8" t="str">
        <x:v>info@satyamicrocapital.com</x:v>
      </x:c>
      <x:c r="F40" s="8" t="str">
        <x:v>generic</x:v>
      </x:c>
      <x:c r="G40" s="8" t="str">
        <x:v>https://satyamicrocapital.com/</x:v>
      </x:c>
      <x:c r="H40" s="8" t="str">
        <x:v>Verify direct business contact and discovery need.</x:v>
      </x:c>
      <x:c r="I40" s="8" t="str">
        <x:v>Specific software or AI need; Budget and project timing; Purchasing authority; Prior outreach and do-not-contact history; Email deliverability</x:v>
      </x:c>
      <x:c r="J40" s="8" t="str">
        <x:v>https://www.sa-dhan.net/wp-content/uploads/2026/03/Memberlist_website26.xlsx</x:v>
      </x:c>
      <x:c r="K40"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[S098]
contact_route: 5 — Official generic business inbox or contact page; requires routing to the relevant executive. [S099]</x:v>
      </x:c>
    </x:row>
    <x:row r="41" ht="96" hidden="0" customHeight="1">
      <x:c r="A41" s="3" t="str">
        <x:v>L036</x:v>
      </x:c>
      <x:c r="B41" s="3" t="str">
        <x:v>SEED Capital Private Limited</x:v>
      </x:c>
      <x:c r="C41" s="3" t="str">
        <x:v>Sa-Dhan’s March 2026 list includes the organisation under NBFC in Bihar.
https://www.sa-dhan.net/wp-content/uploads/2026/03/Memberlist_website26.xlsx</x:v>
      </x:c>
      <x:c r="D41" s="3" t="str">
        <x:v>Validate whether branch reporting, reconciliation or document review needs integration with existing systems; no software gap is established.</x:v>
      </x:c>
      <x:c r="E41" s="3" t="str">
        <x:v>Not established</x:v>
      </x:c>
      <x:c r="F41" s="3" t="str">
        <x:v>generic</x:v>
      </x:c>
      <x:c r="G41" s="3" t="str">
        <x:v>https://seedcapital.co.in/html/contact</x:v>
      </x:c>
      <x:c r="H41" s="3" t="str">
        <x:v>Verify direct business contact and discovery need.</x:v>
      </x:c>
      <x:c r="I41" s="3" t="str">
        <x:v>Specific software or AI need; Budget and project timing; Purchasing authority; Prior outreach and do-not-contact history; Email deliverability</x:v>
      </x:c>
      <x:c r="J41" s="3" t="str">
        <x:v>https://www.sa-dhan.net/wp-content/uploads/2026/03/Memberlist_website26.xlsx</x:v>
      </x:c>
      <x:c r="K4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[S101]
contact_route: 5 — Official generic business inbox or contact page; requires routing to the relevant executive. [S102]</x:v>
      </x:c>
    </x:row>
    <x:row r="42" ht="96" hidden="0" customHeight="1">
      <x:c r="A42" s="8" t="str">
        <x:v>L037</x:v>
      </x:c>
      <x:c r="B42" s="8" t="str">
        <x:v>Share India Fincap Private Limited</x:v>
      </x:c>
      <x:c r="C42" s="8" t="str">
        <x:v>Sa-Dhan’s March 2026 list includes the organisation under NBFC in Uttar Pradesh.
https://www.sa-dhan.net/wp-content/uploads/2026/03/Memberlist_website26.xlsx</x:v>
      </x:c>
      <x:c r="D42" s="8" t="str">
        <x:v>Validate whether branch reporting, reconciliation or document review needs integration with existing systems; no software gap is established.</x:v>
      </x:c>
      <x:c r="E42" s="8" t="str">
        <x:v>info@shareindiafincap.co.in</x:v>
      </x:c>
      <x:c r="F42" s="8" t="str">
        <x:v>generic</x:v>
      </x:c>
      <x:c r="G42" s="8" t="str">
        <x:v>https://www.shareindiafincap.com/contact-us.html</x:v>
      </x:c>
      <x:c r="H42" s="8" t="str">
        <x:v>Verify direct business contact and discovery need.</x:v>
      </x:c>
      <x:c r="I42" s="8" t="str">
        <x:v>Specific software or AI need; Budget and project timing; Purchasing authority; Prior outreach and do-not-contact history; Email deliverability</x:v>
      </x:c>
      <x:c r="J42" s="8" t="str">
        <x:v>https://www.sa-dhan.net/wp-content/uploads/2026/03/Memberlist_website26.xlsx</x:v>
      </x:c>
      <x:c r="K42"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[S104]
contact_route: 5 — Official generic business inbox or contact page; requires routing to the relevant executive. [S105]</x:v>
      </x:c>
    </x:row>
    <x:row r="43" ht="96" hidden="0" customHeight="1">
      <x:c r="A43" s="3" t="str">
        <x:v>L038</x:v>
      </x:c>
      <x:c r="B43" s="3" t="str">
        <x:v>South India Finvest Private Limited</x:v>
      </x:c>
      <x:c r="C43" s="3" t="str">
        <x:v>Sa-Dhan’s March 2026 list includes the organisation under NBFC - MFI in Tamil Nadu.
https://www.sa-dhan.net/wp-content/uploads/2026/03/Memberlist_website26.xlsx</x:v>
      </x:c>
      <x:c r="D43" s="3" t="str">
        <x:v>Validate whether branch reporting, reconciliation or document review needs integration with existing systems; no software gap is established.</x:v>
      </x:c>
      <x:c r="E43" s="3" t="str">
        <x:v>Not established</x:v>
      </x:c>
      <x:c r="F43" s="3" t="str">
        <x:v>generic</x:v>
      </x:c>
      <x:c r="G43" s="3" t="str">
        <x:v>https://southindiafinvest.com/contact-us</x:v>
      </x:c>
      <x:c r="H43" s="3" t="str">
        <x:v>Verify direct business contact and discovery need.</x:v>
      </x:c>
      <x:c r="I43" s="3" t="str">
        <x:v>Specific software or AI need; Budget and project timing; Purchasing authority; Prior outreach and do-not-contact history; Email deliverability</x:v>
      </x:c>
      <x:c r="J43" s="3" t="str">
        <x:v>https://www.sa-dhan.net/wp-content/uploads/2026/03/Memberlist_website26.xlsx</x:v>
      </x:c>
      <x:c r="K4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[S110]
contact_route: 5 — Official generic business inbox or contact page; requires routing to the relevant executive. [S111]</x:v>
      </x:c>
    </x:row>
    <x:row r="44" ht="96" hidden="0" customHeight="1">
      <x:c r="A44" s="8" t="str">
        <x:v>L039</x:v>
      </x:c>
      <x:c r="B44" s="8" t="str">
        <x:v>Svamaan Financial Services Private Ltd.</x:v>
      </x:c>
      <x:c r="C44" s="8" t="str">
        <x:v>Sa-Dhan’s March 2026 list includes the organisation under NBFC - MFI in Maharashtra.
https://www.sa-dhan.net/wp-content/uploads/2026/03/Memberlist_website26.xlsx</x:v>
      </x:c>
      <x:c r="D44" s="8" t="str">
        <x:v>Validate whether branch reporting, reconciliation or document review needs integration with existing systems; no software gap is established.</x:v>
      </x:c>
      <x:c r="E44" s="8" t="str">
        <x:v>Not established</x:v>
      </x:c>
      <x:c r="F44" s="8" t="str">
        <x:v>generic</x:v>
      </x:c>
      <x:c r="G44" s="8" t="str">
        <x:v>https://www.svamaan.in/contact-us.php</x:v>
      </x:c>
      <x:c r="H44" s="8" t="str">
        <x:v>Verify direct business contact and discovery need.</x:v>
      </x:c>
      <x:c r="I44" s="8" t="str">
        <x:v>Specific software or AI need; Budget and project timing; Purchasing authority; Prior outreach and do-not-contact history; Email deliverability</x:v>
      </x:c>
      <x:c r="J44" s="8" t="str">
        <x:v>https://www.sa-dhan.net/wp-content/uploads/2026/03/Memberlist_website26.xlsx</x:v>
      </x:c>
      <x:c r="K44"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[S116]
contact_route: 5 — Official generic business inbox or contact page; requires routing to the relevant executive. [S117]</x:v>
      </x:c>
    </x:row>
    <x:row r="45" ht="96" hidden="0" customHeight="1">
      <x:c r="A45" s="3" t="str">
        <x:v>L040</x:v>
      </x:c>
      <x:c r="B45" s="3" t="str">
        <x:v>Swarnodhayam Credits Private Limited</x:v>
      </x:c>
      <x:c r="C45" s="3" t="str">
        <x:v>Sa-Dhan’s March 2026 list includes the organisation under NBFC in Tamil Nadu.
https://www.sa-dhan.net/wp-content/uploads/2026/03/Memberlist_website26.xlsx</x:v>
      </x:c>
      <x:c r="D45" s="3" t="str">
        <x:v>Validate whether branch reporting, reconciliation or document review needs integration with existing systems; no software gap is established.</x:v>
      </x:c>
      <x:c r="E45" s="3" t="str">
        <x:v>contact@swarnodhayam.com</x:v>
      </x:c>
      <x:c r="F45" s="3" t="str">
        <x:v>generic</x:v>
      </x:c>
      <x:c r="G45" s="3" t="str">
        <x:v>https://www.swarnodhayam.com/contact-us</x:v>
      </x:c>
      <x:c r="H45" s="3" t="str">
        <x:v>Verify direct business contact and discovery need.</x:v>
      </x:c>
      <x:c r="I45" s="3" t="str">
        <x:v>Specific software or AI need; Budget and project timing; Purchasing authority; Prior outreach and do-not-contact history; Email deliverability</x:v>
      </x:c>
      <x:c r="J45" s="3" t="str">
        <x:v>https://www.sa-dhan.net/wp-content/uploads/2026/03/Memberlist_website26.xlsx</x:v>
      </x:c>
      <x:c r="K4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[S120]
contact_route: 5 — Official generic business inbox or contact page; requires routing to the relevant executive. [S121]</x:v>
      </x:c>
    </x:row>
    <x:row r="46" ht="96" hidden="0" customHeight="1">
      <x:c r="A46" s="8" t="str">
        <x:v>L041</x:v>
      </x:c>
      <x:c r="B46" s="8" t="str">
        <x:v>UNACCO Financial Services Pvt. Ltd.</x:v>
      </x:c>
      <x:c r="C46" s="8" t="str">
        <x:v>Sa-Dhan’s March 2026 list includes the organisation under NBFC - MFI in Assam.
https://www.sa-dhan.net/wp-content/uploads/2026/03/Memberlist_website26.xlsx</x:v>
      </x:c>
      <x:c r="D46" s="8" t="str">
        <x:v>Validate whether branch reporting, reconciliation or document review needs integration with existing systems; no software gap is established.</x:v>
      </x:c>
      <x:c r="E46" s="8" t="str">
        <x:v>info@unacco.in</x:v>
      </x:c>
      <x:c r="F46" s="8" t="str">
        <x:v>generic</x:v>
      </x:c>
      <x:c r="G46" s="8" t="str">
        <x:v>https://www.unacco.in/contact-us</x:v>
      </x:c>
      <x:c r="H46" s="8" t="str">
        <x:v>Verify direct business contact and discovery need.</x:v>
      </x:c>
      <x:c r="I46" s="8" t="str">
        <x:v>Specific software or AI need; Budget and project timing; Purchasing authority; Prior outreach and do-not-contact history; Email deliverability</x:v>
      </x:c>
      <x:c r="J46" s="8" t="str">
        <x:v>https://www.sa-dhan.net/wp-content/uploads/2026/03/Memberlist_website26.xlsx</x:v>
      </x:c>
      <x:c r="K46"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[S122]
contact_route: 5 — Official generic business inbox or contact page; requires routing to the relevant executive. [S123]</x:v>
      </x:c>
    </x:row>
    <x:row r="47" ht="96" hidden="0" customHeight="1">
      <x:c r="A47" s="3" t="str">
        <x:v>L042</x:v>
      </x:c>
      <x:c r="B47" s="3" t="str">
        <x:v>Uttrayan Financial Services Pvt. Ltd</x:v>
      </x:c>
      <x:c r="C47" s="3" t="str">
        <x:v>Sa-Dhan’s March 2026 list includes the organisation under NBFC - MFI in West Bengal.
https://www.sa-dhan.net/wp-content/uploads/2026/03/Memberlist_website26.xlsx</x:v>
      </x:c>
      <x:c r="D47" s="3" t="str">
        <x:v>Validate whether branch reporting, reconciliation or document review needs integration with existing systems; no software gap is established.</x:v>
      </x:c>
      <x:c r="E47" s="3" t="str">
        <x:v>Not established</x:v>
      </x:c>
      <x:c r="F47" s="3" t="str">
        <x:v>generic</x:v>
      </x:c>
      <x:c r="G47" s="3" t="str">
        <x:v>https://uttrayan-mfi.com/contact-us/</x:v>
      </x:c>
      <x:c r="H47" s="3" t="str">
        <x:v>Verify direct business contact and discovery need.</x:v>
      </x:c>
      <x:c r="I47" s="3" t="str">
        <x:v>Specific software or AI need; Budget and project timing; Purchasing authority; Prior outreach and do-not-contact history; Email deliverability</x:v>
      </x:c>
      <x:c r="J47" s="3" t="str">
        <x:v>https://www.sa-dhan.net/wp-content/uploads/2026/03/Memberlist_website26.xlsx</x:v>
      </x:c>
      <x:c r="K47"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[S126]
contact_route: 5 — Official generic business inbox or contact page; requires routing to the relevant executive. [S127]</x:v>
      </x:c>
    </x:row>
    <x:row r="48" ht="96" hidden="0" customHeight="1">
      <x:c r="A48" s="8" t="str">
        <x:v>L043</x:v>
      </x:c>
      <x:c r="B48" s="8" t="str">
        <x:v>Valar Aditi Social Finance Pvt. Ltd.</x:v>
      </x:c>
      <x:c r="C48" s="8" t="str">
        <x:v>Sa-Dhan’s March 2026 list includes the organisation under NBFC - MFI in Tamil Nadu.
https://www.sa-dhan.net/wp-content/uploads/2026/03/Memberlist_website26.xlsx</x:v>
      </x:c>
      <x:c r="D48" s="8" t="str">
        <x:v>Validate whether branch reporting, reconciliation or document review needs integration with existing systems; no software gap is established.</x:v>
      </x:c>
      <x:c r="E48" s="8" t="str">
        <x:v>contact@valaraditi.in</x:v>
      </x:c>
      <x:c r="F48" s="8" t="str">
        <x:v>generic</x:v>
      </x:c>
      <x:c r="G48" s="8" t="str">
        <x:v>https://valaraditi.in/contact-us/</x:v>
      </x:c>
      <x:c r="H48" s="8" t="str">
        <x:v>Verify direct business contact and discovery need.</x:v>
      </x:c>
      <x:c r="I48" s="8" t="str">
        <x:v>Specific software or AI need; Budget and project timing; Purchasing authority; Prior outreach and do-not-contact history; Email deliverability</x:v>
      </x:c>
      <x:c r="J48" s="8" t="str">
        <x:v>https://www.sa-dhan.net/wp-content/uploads/2026/03/Memberlist_website26.xlsx</x:v>
      </x:c>
      <x:c r="K48"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[S129]
contact_route: 5 — Official generic business inbox or contact page; requires routing to the relevant executive. [S130]</x:v>
      </x:c>
    </x:row>
    <x:row r="49" ht="96" hidden="0" customHeight="1">
      <x:c r="A49" s="3" t="str">
        <x:v>L044</x:v>
      </x:c>
      <x:c r="B49" s="3" t="str">
        <x:v>Vanchinad Finance Private Limited</x:v>
      </x:c>
      <x:c r="C49" s="3" t="str">
        <x:v>Sa-Dhan’s March 2026 list includes the organisation under NBFC in Kerala.
https://www.sa-dhan.net/wp-content/uploads/2026/03/Memberlist_website26.xlsx</x:v>
      </x:c>
      <x:c r="D49" s="3" t="str">
        <x:v>Validate whether branch reporting, reconciliation or document review needs integration with existing systems; no software gap is established.</x:v>
      </x:c>
      <x:c r="E49" s="3" t="str">
        <x:v>info@vanchinadfinance.com</x:v>
      </x:c>
      <x:c r="F49" s="3" t="str">
        <x:v>generic</x:v>
      </x:c>
      <x:c r="G49" s="3" t="str">
        <x:v>https://vanchinad.com/index.php/board-of-directors/</x:v>
      </x:c>
      <x:c r="H49" s="3" t="str">
        <x:v>Verify direct business contact and discovery need.</x:v>
      </x:c>
      <x:c r="I49" s="3" t="str">
        <x:v>Specific software or AI need; Budget and project timing; Purchasing authority; Prior outreach and do-not-contact history; Email deliverability</x:v>
      </x:c>
      <x:c r="J49" s="3" t="str">
        <x:v>https://www.sa-dhan.net/wp-content/uploads/2026/03/Memberlist_website26.xlsx</x:v>
      </x:c>
      <x:c r="K49"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[S131]
contact_route: 5 — Official generic business inbox or contact page; requires routing to the relevant executive. [S131]</x:v>
      </x:c>
    </x:row>
    <x:row r="50" ht="96" hidden="0" customHeight="1">
      <x:c r="A50" s="8" t="str">
        <x:v>L045</x:v>
      </x:c>
      <x:c r="B50" s="8" t="str">
        <x:v>Vector Finance Private Limited</x:v>
      </x:c>
      <x:c r="C50" s="8" t="str">
        <x:v>Sa-Dhan’s March 2026 list includes the organisation under NBFC - MFI in West Bengal.
https://www.sa-dhan.net/wp-content/uploads/2026/03/Memberlist_website26.xlsx</x:v>
      </x:c>
      <x:c r="D50" s="8" t="str">
        <x:v>Validate whether branch reporting, reconciliation or document review needs integration with existing systems; no software gap is established.</x:v>
      </x:c>
      <x:c r="E50" s="8" t="str">
        <x:v>Not established</x:v>
      </x:c>
      <x:c r="F50" s="8" t="str">
        <x:v>generic</x:v>
      </x:c>
      <x:c r="G50" s="8" t="str">
        <x:v>https://vectorfinance.in/investor-contact/</x:v>
      </x:c>
      <x:c r="H50" s="8" t="str">
        <x:v>Verify direct business contact and discovery need.</x:v>
      </x:c>
      <x:c r="I50" s="8" t="str">
        <x:v>Specific software or AI need; Budget and project timing; Purchasing authority; Prior outreach and do-not-contact history; Email deliverability</x:v>
      </x:c>
      <x:c r="J50" s="8" t="str">
        <x:v>https://www.sa-dhan.net/wp-content/uploads/2026/03/Memberlist_website26.xlsx</x:v>
      </x:c>
      <x:c r="K50"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[S132]
contact_route: 5 — Official generic business inbox or contact page; requires routing to the relevant executive. [S133]</x:v>
      </x:c>
    </x:row>
    <x:row r="51" ht="96" hidden="0" customHeight="1">
      <x:c r="A51" s="3" t="str">
        <x:v>L046</x:v>
      </x:c>
      <x:c r="B51" s="3" t="str">
        <x:v>Velicham Finance Private Limited</x:v>
      </x:c>
      <x:c r="C51" s="3" t="str">
        <x:v>Sa-Dhan’s March 2026 list includes the organisation under NBFC in Tamil Nadu.
https://www.sa-dhan.net/wp-content/uploads/2026/03/Memberlist_website26.xlsx</x:v>
      </x:c>
      <x:c r="D51" s="3" t="str">
        <x:v>Validate whether branch reporting, reconciliation or document review needs integration with existing systems; no software gap is established.</x:v>
      </x:c>
      <x:c r="E51" s="3" t="str">
        <x:v>info@velichamfinance.com</x:v>
      </x:c>
      <x:c r="F51" s="3" t="str">
        <x:v>generic</x:v>
      </x:c>
      <x:c r="G51" s="3" t="str">
        <x:v>https://velichamfinance.com/contact-us/</x:v>
      </x:c>
      <x:c r="H51" s="3" t="str">
        <x:v>Verify direct business contact and discovery need.</x:v>
      </x:c>
      <x:c r="I51" s="3" t="str">
        <x:v>Specific software or AI need; Budget and project timing; Purchasing authority; Prior outreach and do-not-contact history; Email deliverability</x:v>
      </x:c>
      <x:c r="J51" s="3" t="str">
        <x:v>https://www.sa-dhan.net/wp-content/uploads/2026/03/Memberlist_website26.xlsx</x:v>
      </x:c>
      <x:c r="K5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[S135]
contact_route: 5 — Official generic business inbox or contact page; requires routing to the relevant executive. [S136]</x:v>
      </x:c>
    </x:row>
    <x:row r="52" ht="96" hidden="0" customHeight="1">
      <x:c r="A52" s="8" t="str">
        <x:v>L047</x:v>
      </x:c>
      <x:c r="B52" s="8" t="str">
        <x:v>Virutcham Microfinance Ltd. (VML)</x:v>
      </x:c>
      <x:c r="C52" s="8" t="str">
        <x:v>Sa-Dhan’s March 2026 list includes the organisation under NBFC - MFI in Tamil Nadu.
https://www.sa-dhan.net/wp-content/uploads/2026/03/Memberlist_website26.xlsx</x:v>
      </x:c>
      <x:c r="D52" s="8" t="str">
        <x:v>Validate whether branch reporting, reconciliation or document review needs integration with existing systems; no software gap is established.</x:v>
      </x:c>
      <x:c r="E52" s="8" t="str">
        <x:v>info@virutcham.org</x:v>
      </x:c>
      <x:c r="F52" s="8" t="str">
        <x:v>generic</x:v>
      </x:c>
      <x:c r="G52" s="8" t="str">
        <x:v>https://virutcham.org/contact-2-2/</x:v>
      </x:c>
      <x:c r="H52" s="8" t="str">
        <x:v>Verify direct business contact and discovery need.</x:v>
      </x:c>
      <x:c r="I52" s="8" t="str">
        <x:v>Specific software or AI need; Budget and project timing; Purchasing authority; Prior outreach and do-not-contact history; Email deliverability</x:v>
      </x:c>
      <x:c r="J52" s="8" t="str">
        <x:v>https://www.sa-dhan.net/wp-content/uploads/2026/03/Memberlist_website26.xlsx</x:v>
      </x:c>
      <x:c r="K52"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[S138]
contact_route: 5 — Official generic business inbox or contact page; requires routing to the relevant executive. [S139]</x:v>
      </x:c>
    </x:row>
    <x:row r="53" ht="96" hidden="0" customHeight="1">
      <x:c r="A53" s="3" t="str">
        <x:v>L048</x:v>
      </x:c>
      <x:c r="B53" s="3" t="str">
        <x:v>Wegrow Financial Services Private Limited</x:v>
      </x:c>
      <x:c r="C53" s="3" t="str">
        <x:v>Sa-Dhan’s March 2026 list includes the organisation under NBFC - MFI in West Bengal.
https://www.sa-dhan.net/wp-content/uploads/2026/03/Memberlist_website26.xlsx</x:v>
      </x:c>
      <x:c r="D53" s="3" t="str">
        <x:v>Validate whether branch reporting, reconciliation or document review needs integration with existing systems; no software gap is established.</x:v>
      </x:c>
      <x:c r="E53" s="3" t="str">
        <x:v>info@wegrowindia.com</x:v>
      </x:c>
      <x:c r="F53" s="3" t="str">
        <x:v>generic</x:v>
      </x:c>
      <x:c r="G53" s="3" t="str">
        <x:v>https://www.wegrowindia.com/contact-us</x:v>
      </x:c>
      <x:c r="H53" s="3" t="str">
        <x:v>Verify direct business contact and discovery need.</x:v>
      </x:c>
      <x:c r="I53" s="3" t="str">
        <x:v>Specific software or AI need; Budget and project timing; Purchasing authority; Prior outreach and do-not-contact history; Email deliverability</x:v>
      </x:c>
      <x:c r="J53" s="3" t="str">
        <x:v>https://www.sa-dhan.net/wp-content/uploads/2026/03/Memberlist_website26.xlsx</x:v>
      </x:c>
      <x:c r="K5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[S142]
contact_route: 5 — Official generic business inbox or contact page; requires routing to the relevant executive. [S143]</x:v>
      </x:c>
    </x:row>
    <x:row r="54" ht="96" hidden="0" customHeight="1">
      <x:c r="A54" s="8" t="str">
        <x:v>L049</x:v>
      </x:c>
      <x:c r="B54" s="8" t="str">
        <x:v>YVU Financial Service</x:v>
      </x:c>
      <x:c r="C54" s="8" t="str">
        <x:v>Sa-Dhan’s March 2026 list includes the organisation under NBFC - MFI in Manipur.
https://www.sa-dhan.net/wp-content/uploads/2026/03/Memberlist_website26.xlsx</x:v>
      </x:c>
      <x:c r="D54" s="8" t="str">
        <x:v>Validate whether branch reporting, reconciliation or document review needs integration with existing systems; no software gap is established.</x:v>
      </x:c>
      <x:c r="E54" s="8" t="str">
        <x:v>contact@yvumf.com</x:v>
      </x:c>
      <x:c r="F54" s="8" t="str">
        <x:v>generic</x:v>
      </x:c>
      <x:c r="G54" s="8" t="str">
        <x:v>https://www.yvumf.com/contact.php</x:v>
      </x:c>
      <x:c r="H54" s="8" t="str">
        <x:v>Verify direct business contact and discovery need.</x:v>
      </x:c>
      <x:c r="I54" s="8" t="str">
        <x:v>Specific software or AI need; Budget and project timing; Purchasing authority; Prior outreach and do-not-contact history; Email deliverability</x:v>
      </x:c>
      <x:c r="J54" s="8" t="str">
        <x:v>https://www.sa-dhan.net/wp-content/uploads/2026/03/Memberlist_website26.xlsx</x:v>
      </x:c>
      <x:c r="K54"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[S145]
contact_route: 5 — Official generic business inbox or contact page; requires routing to the relevant executive. [S146]</x:v>
      </x:c>
    </x:row>
    <x:row r="55" ht="72" hidden="0" customHeight="1">
      <x:c r="A55" s="3" t="str">
        <x:v>L050</x:v>
      </x:c>
      <x:c r="B55" s="3" t="str">
        <x:v>Aavas Financiers Limited</x:v>
      </x:c>
      <x:c r="C55" s="3" t="str">
        <x:v>Public leadership evidence identifies Jijy Oommen as Chief Technology Officer at Aavas Financiers Limited.
https://www.aavas.in/our-leadership</x:v>
      </x:c>
      <x:c r="D55" s="3" t="str">
        <x:v>Validate whether branch reporting, reconciliation or document review needs integration with existing systems; no software gap is established.</x:v>
      </x:c>
      <x:c r="E55" s="3" t="str">
        <x:v>Not established</x:v>
      </x:c>
      <x:c r="F55" s="3" t="str">
        <x:v>unknown</x:v>
      </x:c>
      <x:c r="G55" s="3" t="str">
        <x:v>Not established</x:v>
      </x:c>
      <x:c r="H55" s="3" t="str">
        <x:v>Verify an appropriate business contact route and validate need before drafting.</x:v>
      </x:c>
      <x:c r="I55" s="3" t="str">
        <x:v>Specific software or AI need; Budget and project timing; Purchasing authority; Prior outreach and do-not-contact history; Email deliverability</x:v>
      </x:c>
      <x:c r="J55" s="3" t="str">
        <x:v>https://www.aavas.in/our-leadership</x:v>
      </x:c>
      <x:c r="K55" s="3" t="str">
        <x:v>service_fit: 15 — Broad finance-operations fit; no specific software gap or outsourcing interest established. [S159]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[S159]</x:v>
      </x:c>
    </x:row>
    <x:row r="56" ht="72" hidden="0" customHeight="1">
      <x:c r="A56" s="8" t="str">
        <x:v>L051</x:v>
      </x:c>
      <x:c r="B56" s="8" t="str">
        <x:v>Anik Financial Services Pvt Ltd</x:v>
      </x:c>
      <x:c r="C56" s="8" t="str">
        <x:v>Sa-Dhan’s March 2026 list includes the organisation under NBFC - MFI in Maharashtra.
https://www.sa-dhan.net/wp-content/uploads/2026/03/Memberlist_website26.xlsx</x:v>
      </x:c>
      <x:c r="D56" s="8" t="str">
        <x:v>Validate whether branch reporting, reconciliation or document review needs integration with existing systems; no software gap is established.</x:v>
      </x:c>
      <x:c r="E56" s="8" t="str">
        <x:v>Not established</x:v>
      </x:c>
      <x:c r="F56" s="8" t="str">
        <x:v>unknown</x:v>
      </x:c>
      <x:c r="G56" s="8" t="str">
        <x:v>Not established</x:v>
      </x:c>
      <x:c r="H56" s="8" t="str">
        <x:v>Verify direct business contact and discovery need.</x:v>
      </x:c>
      <x:c r="I56" s="8" t="str">
        <x:v>Specific software or AI need; Budget and project timing; Purchasing authority; Prior outreach and do-not-contact history; Email deliverability</x:v>
      </x:c>
      <x:c r="J56" s="8" t="str">
        <x:v>https://www.sa-dhan.net/wp-content/uploads/2026/03/Memberlist_website26.xlsx</x:v>
      </x:c>
      <x:c r="K56"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[S014]</x:v>
      </x:c>
    </x:row>
    <x:row r="57" ht="72" hidden="0" customHeight="1">
      <x:c r="A57" s="3" t="str">
        <x:v>L052</x:v>
      </x:c>
      <x:c r="B57" s="3" t="str">
        <x:v>Annapurna Finance Private Limited</x:v>
      </x:c>
      <x:c r="C57" s="3" t="str">
        <x:v>Sa-Dhan’s March 2026 list includes the organisation under NBFC - MFI in Odisha.
https://www.sa-dhan.net/wp-content/uploads/2026/03/Memberlist_website26.xlsx</x:v>
      </x:c>
      <x:c r="D57" s="3" t="str">
        <x:v>Validate whether branch reporting, reconciliation or document review needs integration with existing systems; no software gap is established.</x:v>
      </x:c>
      <x:c r="E57" s="3" t="str">
        <x:v>Not established</x:v>
      </x:c>
      <x:c r="F57" s="3" t="str">
        <x:v>unknown</x:v>
      </x:c>
      <x:c r="G57" s="3" t="str">
        <x:v>Not established</x:v>
      </x:c>
      <x:c r="H57" s="3" t="str">
        <x:v>Verify direct business contact and discovery need.</x:v>
      </x:c>
      <x:c r="I57" s="3" t="str">
        <x:v>Specific software or AI need; Budget and project timing; Purchasing authority; Prior outreach and do-not-contact history; Email deliverability</x:v>
      </x:c>
      <x:c r="J57" s="3" t="str">
        <x:v>https://www.sa-dhan.net/wp-content/uploads/2026/03/Memberlist_website26.xlsx</x:v>
      </x:c>
      <x:c r="K57"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x:v>
      </x:c>
    </x:row>
    <x:row r="58" ht="72" hidden="0" customHeight="1">
      <x:c r="A58" s="8" t="str">
        <x:v>L053</x:v>
      </x:c>
      <x:c r="B58" s="8" t="str">
        <x:v>Aptus Value Housing Finance India Limited</x:v>
      </x:c>
      <x:c r="C58" s="8" t="str">
        <x:v>Public leadership evidence identifies Balaji P as Managing Director at Aptus Value Housing Finance India Limited.
https://www.aptusindia.com/management-team/</x:v>
      </x:c>
      <x:c r="D58" s="8" t="str">
        <x:v>Validate whether branch reporting, reconciliation or document review needs integration with existing systems; no software gap is established.</x:v>
      </x:c>
      <x:c r="E58" s="8" t="str">
        <x:v>Not established</x:v>
      </x:c>
      <x:c r="F58" s="8" t="str">
        <x:v>unknown</x:v>
      </x:c>
      <x:c r="G58" s="8" t="str">
        <x:v>Not established</x:v>
      </x:c>
      <x:c r="H58" s="8" t="str">
        <x:v>Verify an appropriate business contact route and validate need before drafting.</x:v>
      </x:c>
      <x:c r="I58" s="8" t="str">
        <x:v>Specific software or AI need; Budget and project timing; Purchasing authority; Prior outreach and do-not-contact history; Email deliverability</x:v>
      </x:c>
      <x:c r="J58" s="8" t="str">
        <x:v>https://www.aptusindia.com/management-team/</x:v>
      </x:c>
      <x:c r="K58" s="8" t="str">
        <x:v>service_fit: 15 — Broad finance-operations fit; no specific software gap or outsourcing interest established. [S158]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[S158]</x:v>
      </x:c>
    </x:row>
    <x:row r="59" ht="72" hidden="0" customHeight="1">
      <x:c r="A59" s="3" t="str">
        <x:v>L054</x:v>
      </x:c>
      <x:c r="B59" s="3" t="str">
        <x:v>Arohan Financial Services Limited</x:v>
      </x:c>
      <x:c r="C59" s="3" t="str">
        <x:v>Public leadership evidence identifies Manoj Kumar Nambiar as Managing Director at Arohan Financial Services Limited.
https://mfinindia.org/about/leadership</x:v>
      </x:c>
      <x:c r="D59" s="3" t="str">
        <x:v>Validate whether branch reporting, reconciliation or document review needs integration with existing systems; no software gap is established.</x:v>
      </x:c>
      <x:c r="E59" s="3" t="str">
        <x:v>Not established</x:v>
      </x:c>
      <x:c r="F59" s="3" t="str">
        <x:v>unknown</x:v>
      </x:c>
      <x:c r="G59" s="3" t="str">
        <x:v>Not established</x:v>
      </x:c>
      <x:c r="H59" s="3" t="str">
        <x:v>Verify an appropriate business contact route and validate need before drafting.</x:v>
      </x:c>
      <x:c r="I59" s="3" t="str">
        <x:v>Specific software or AI need; Budget and project timing; Purchasing authority; Prior outreach and do-not-contact history; Email deliverability</x:v>
      </x:c>
      <x:c r="J59" s="3" t="str">
        <x:v>https://mfinindia.org/about/leadership</x:v>
      </x:c>
      <x:c r="K59" s="3"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60" ht="72" hidden="0" customHeight="1">
      <x:c r="A60" s="8" t="str">
        <x:v>L055</x:v>
      </x:c>
      <x:c r="B60" s="8" t="str">
        <x:v>Arth Micro Finance Pvt. Ltd.</x:v>
      </x:c>
      <x:c r="C60" s="8" t="str">
        <x:v>Sa-Dhan’s March 2026 list includes the organisation under NBFC - MFI in Rajasthan.
https://www.sa-dhan.net/wp-content/uploads/2026/03/Memberlist_website26.xlsx</x:v>
      </x:c>
      <x:c r="D60" s="8" t="str">
        <x:v>Validate whether branch reporting, reconciliation or document review needs integration with existing systems; no software gap is established.</x:v>
      </x:c>
      <x:c r="E60" s="8" t="str">
        <x:v>Not established</x:v>
      </x:c>
      <x:c r="F60" s="8" t="str">
        <x:v>unknown</x:v>
      </x:c>
      <x:c r="G60" s="8" t="str">
        <x:v>Not established</x:v>
      </x:c>
      <x:c r="H60" s="8" t="str">
        <x:v>Verify direct business contact and discovery need.</x:v>
      </x:c>
      <x:c r="I60" s="8" t="str">
        <x:v>Specific software or AI need; Budget and project timing; Purchasing authority; Prior outreach and do-not-contact history; Email deliverability</x:v>
      </x:c>
      <x:c r="J60" s="8" t="str">
        <x:v>https://www.sa-dhan.net/wp-content/uploads/2026/03/Memberlist_website26.xlsx</x:v>
      </x:c>
      <x:c r="K60"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[S016]</x:v>
      </x:c>
    </x:row>
    <x:row r="61" ht="72" hidden="0" customHeight="1">
      <x:c r="A61" s="3" t="str">
        <x:v>L056</x:v>
      </x:c>
      <x:c r="B61" s="3" t="str">
        <x:v>Asirvad Microfinance Limited</x:v>
      </x:c>
      <x:c r="C61" s="3" t="str">
        <x:v>Sa-Dhan’s March 2026 list includes the organisation under NBFC - MFI in Kerala.
https://www.sa-dhan.net/wp-content/uploads/2026/03/Memberlist_website26.xlsx</x:v>
      </x:c>
      <x:c r="D61" s="3" t="str">
        <x:v>Validate whether branch reporting, reconciliation or document review needs integration with existing systems; no software gap is established.</x:v>
      </x:c>
      <x:c r="E61" s="3" t="str">
        <x:v>Not established</x:v>
      </x:c>
      <x:c r="F61" s="3" t="str">
        <x:v>unknown</x:v>
      </x:c>
      <x:c r="G61" s="3" t="str">
        <x:v>Not established</x:v>
      </x:c>
      <x:c r="H61" s="3" t="str">
        <x:v>Verify direct business contact and discovery need.</x:v>
      </x:c>
      <x:c r="I61" s="3" t="str">
        <x:v>Specific software or AI need; Budget and project timing; Purchasing authority; Prior outreach and do-not-contact history; Email deliverability</x:v>
      </x:c>
      <x:c r="J61" s="3" t="str">
        <x:v>https://www.sa-dhan.net/wp-content/uploads/2026/03/Memberlist_website26.xlsx</x:v>
      </x:c>
      <x:c r="K6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x:v>
      </x:c>
    </x:row>
    <x:row r="62" ht="72" hidden="0" customHeight="1">
      <x:c r="A62" s="8" t="str">
        <x:v>L057</x:v>
      </x:c>
      <x:c r="B62" s="8" t="str">
        <x:v>Bajaj Finance Limited</x:v>
      </x:c>
      <x:c r="C62" s="8" t="str">
        <x:v>Public leadership evidence identifies Gunjan Grover as Chief Operating Officer – Microfinance at Bajaj Finance Limited.
https://mfinindia.org/about/leadership</x:v>
      </x:c>
      <x:c r="D62" s="8" t="str">
        <x:v>Validate whether branch reporting, reconciliation or document review needs integration with existing systems; no software gap is established.</x:v>
      </x:c>
      <x:c r="E62" s="8" t="str">
        <x:v>Not established</x:v>
      </x:c>
      <x:c r="F62" s="8" t="str">
        <x:v>unknown</x:v>
      </x:c>
      <x:c r="G62" s="8" t="str">
        <x:v>Not established</x:v>
      </x:c>
      <x:c r="H62" s="8" t="str">
        <x:v>Verify an appropriate business contact route and validate need before drafting.</x:v>
      </x:c>
      <x:c r="I62" s="8" t="str">
        <x:v>Specific software or AI need; Budget and project timing; Purchasing authority; Prior outreach and do-not-contact history; Email deliverability</x:v>
      </x:c>
      <x:c r="J62" s="8" t="str">
        <x:v>https://mfinindia.org/about/leadership</x:v>
      </x:c>
      <x:c r="K62" s="8"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63" ht="72" hidden="0" customHeight="1">
      <x:c r="A63" s="3" t="str">
        <x:v>L058</x:v>
      </x:c>
      <x:c r="B63" s="3" t="str">
        <x:v>Belstar Microfinance Limited</x:v>
      </x:c>
      <x:c r="C63" s="3" t="str">
        <x:v>Sa-Dhan’s March 2026 list includes the organisation under NBFC - MFI in Tamil Nadu.
https://www.sa-dhan.net/wp-content/uploads/2026/03/Memberlist_website26.xlsx</x:v>
      </x:c>
      <x:c r="D63" s="3" t="str">
        <x:v>Validate whether branch reporting, reconciliation or document review needs integration with existing systems; no software gap is established.</x:v>
      </x:c>
      <x:c r="E63" s="3" t="str">
        <x:v>Not established</x:v>
      </x:c>
      <x:c r="F63" s="3" t="str">
        <x:v>unknown</x:v>
      </x:c>
      <x:c r="G63" s="3" t="str">
        <x:v>Not established</x:v>
      </x:c>
      <x:c r="H63" s="3" t="str">
        <x:v>Verify direct business contact and discovery need.</x:v>
      </x:c>
      <x:c r="I63" s="3" t="str">
        <x:v>Specific software or AI need; Budget and project timing; Purchasing authority; Prior outreach and do-not-contact history; Email deliverability</x:v>
      </x:c>
      <x:c r="J63" s="3" t="str">
        <x:v>https://www.sa-dhan.net/wp-content/uploads/2026/03/Memberlist_website26.xlsx</x:v>
      </x:c>
      <x:c r="K6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x:v>
      </x:c>
    </x:row>
    <x:row r="64" ht="72" hidden="0" customHeight="1">
      <x:c r="A64" s="8" t="str">
        <x:v>L059</x:v>
      </x:c>
      <x:c r="B64" s="8" t="str">
        <x:v>Bharat Financial Inclusion Limited</x:v>
      </x:c>
      <x:c r="C64" s="8" t="str">
        <x:v>Public leadership evidence identifies Tapobrat Chaudhari as Managing Director &amp; CEO at Bharat Financial Inclusion Limited.
https://mfinindia.org/about/leadership</x:v>
      </x:c>
      <x:c r="D64" s="8" t="str">
        <x:v>Validate whether branch reporting, reconciliation or document review needs integration with existing systems; no software gap is established.</x:v>
      </x:c>
      <x:c r="E64" s="8" t="str">
        <x:v>Not established</x:v>
      </x:c>
      <x:c r="F64" s="8" t="str">
        <x:v>unknown</x:v>
      </x:c>
      <x:c r="G64" s="8" t="str">
        <x:v>Not established</x:v>
      </x:c>
      <x:c r="H64" s="8" t="str">
        <x:v>Verify an appropriate business contact route and validate need before drafting.</x:v>
      </x:c>
      <x:c r="I64" s="8" t="str">
        <x:v>Specific software or AI need; Budget and project timing; Purchasing authority; Prior outreach and do-not-contact history; Email deliverability</x:v>
      </x:c>
      <x:c r="J64" s="8" t="str">
        <x:v>https://mfinindia.org/about/leadership</x:v>
      </x:c>
      <x:c r="K64" s="8"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65" ht="72" hidden="0" customHeight="1">
      <x:c r="A65" s="3" t="str">
        <x:v>L060</x:v>
      </x:c>
      <x:c r="B65" s="3" t="str">
        <x:v>BSS Sonata Microcredit Limited</x:v>
      </x:c>
      <x:c r="C65" s="3" t="str">
        <x:v>Sa-Dhan’s March 2026 list includes the organisation under NBFC in Karnataka.
https://www.sa-dhan.net/wp-content/uploads/2026/03/Memberlist_website26.xlsx
Membership name retained as an alias; current branding/name differs. Confirm contracting legal entity.
https://mfinindia.org/about/leadership</x:v>
      </x:c>
      <x:c r="D65" s="3" t="str">
        <x:v>Validate whether branch reporting, reconciliation or document review needs integration with existing systems; no software gap is established.</x:v>
      </x:c>
      <x:c r="E65" s="3" t="str">
        <x:v>Not established</x:v>
      </x:c>
      <x:c r="F65" s="3" t="str">
        <x:v>unknown</x:v>
      </x:c>
      <x:c r="G65" s="3" t="str">
        <x:v>Not established</x:v>
      </x:c>
      <x:c r="H65" s="3" t="str">
        <x:v>Verify direct business contact and discovery need.</x:v>
      </x:c>
      <x:c r="I65" s="3" t="str">
        <x:v>Specific software or AI need; Budget and project timing; Purchasing authority; Prior outreach and do-not-contact history; Email deliverability</x:v>
      </x:c>
      <x:c r="J65" s="3" t="str">
        <x:v>https://www.sa-dhan.net/wp-content/uploads/2026/03/Memberlist_website26.xlsx</x:v>
      </x:c>
      <x:c r="K6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[S022]</x:v>
      </x:c>
    </x:row>
    <x:row r="66" ht="72" hidden="0" customHeight="1">
      <x:c r="A66" s="8" t="str">
        <x:v>L061</x:v>
      </x:c>
      <x:c r="B66" s="8" t="str">
        <x:v>Cashpor Micro Credit</x:v>
      </x:c>
      <x:c r="C66" s="8" t="str">
        <x:v>Sa-Dhan’s March 2026 list includes the organisation under NBFC - MFI in Uttar Pradesh.
https://www.sa-dhan.net/wp-content/uploads/2026/03/Memberlist_website26.xlsx</x:v>
      </x:c>
      <x:c r="D66" s="8" t="str">
        <x:v>Validate whether branch reporting, reconciliation or document review needs integration with existing systems; no software gap is established.</x:v>
      </x:c>
      <x:c r="E66" s="8" t="str">
        <x:v>Not established</x:v>
      </x:c>
      <x:c r="F66" s="8" t="str">
        <x:v>unknown</x:v>
      </x:c>
      <x:c r="G66" s="8" t="str">
        <x:v>Not established</x:v>
      </x:c>
      <x:c r="H66" s="8" t="str">
        <x:v>Verify direct business contact and discovery need.</x:v>
      </x:c>
      <x:c r="I66" s="8" t="str">
        <x:v>Specific software or AI need; Budget and project timing; Purchasing authority; Prior outreach and do-not-contact history; Email deliverability</x:v>
      </x:c>
      <x:c r="J66" s="8" t="str">
        <x:v>https://www.sa-dhan.net/wp-content/uploads/2026/03/Memberlist_website26.xlsx</x:v>
      </x:c>
      <x:c r="K66"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x:v>
      </x:c>
    </x:row>
    <x:row r="67" ht="72" hidden="0" customHeight="1">
      <x:c r="A67" s="3" t="str">
        <x:v>L062</x:v>
      </x:c>
      <x:c r="B67" s="3" t="str">
        <x:v>Cholamandalam Investment and Finance Company Limited</x:v>
      </x:c>
      <x:c r="C67" s="3" t="str">
        <x:v>Public leadership evidence identifies Ravindra Kumar Kundu as Managing Director at Cholamandalam Investment and Finance Company Limited.
https://www.cholamandalam.com/about-us/board-directors</x:v>
      </x:c>
      <x:c r="D67" s="3" t="str">
        <x:v>Validate whether branch reporting, reconciliation or document review needs integration with existing systems; no software gap is established.</x:v>
      </x:c>
      <x:c r="E67" s="3" t="str">
        <x:v>Not established</x:v>
      </x:c>
      <x:c r="F67" s="3" t="str">
        <x:v>unknown</x:v>
      </x:c>
      <x:c r="G67" s="3" t="str">
        <x:v>Not established</x:v>
      </x:c>
      <x:c r="H67" s="3" t="str">
        <x:v>Verify an appropriate business contact route and validate need before drafting.</x:v>
      </x:c>
      <x:c r="I67" s="3" t="str">
        <x:v>Specific software or AI need; Budget and project timing; Purchasing authority; Prior outreach and do-not-contact history; Email deliverability</x:v>
      </x:c>
      <x:c r="J67" s="3" t="str">
        <x:v>https://www.cholamandalam.com/about-us/board-directors</x:v>
      </x:c>
      <x:c r="K67" s="3" t="str">
        <x:v>service_fit: 15 — Broad finance-operations fit; no specific software gap or outsourcing interest established. [S160]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[S160]</x:v>
      </x:c>
    </x:row>
    <x:row r="68" ht="72" hidden="0" customHeight="1">
      <x:c r="A68" s="8" t="str">
        <x:v>L063</x:v>
      </x:c>
      <x:c r="B68" s="8" t="str">
        <x:v>Clix Capital</x:v>
      </x:c>
      <x:c r="C68" s="8" t="str">
        <x:v>Public leadership evidence identifies Krishanu Ray as Chief Technology Officer at Clix Capital.
https://www.clix.capital/about/</x:v>
      </x:c>
      <x:c r="D68" s="8" t="str">
        <x:v>Validate whether branch reporting, reconciliation or document review needs integration with existing systems; no software gap is established.</x:v>
      </x:c>
      <x:c r="E68" s="8" t="str">
        <x:v>Not established</x:v>
      </x:c>
      <x:c r="F68" s="8" t="str">
        <x:v>unknown</x:v>
      </x:c>
      <x:c r="G68" s="8" t="str">
        <x:v>Not established</x:v>
      </x:c>
      <x:c r="H68" s="8" t="str">
        <x:v>Verify an appropriate business contact route and validate need before drafting.</x:v>
      </x:c>
      <x:c r="I68" s="8" t="str">
        <x:v>Specific software or AI need; Budget and project timing; Purchasing authority; Prior outreach and do-not-contact history; Email deliverability</x:v>
      </x:c>
      <x:c r="J68" s="8" t="str">
        <x:v>https://www.clix.capital/about/</x:v>
      </x:c>
      <x:c r="K68" s="8" t="str">
        <x:v>service_fit: 15 — Broad finance-operations fit; no specific software gap or outsourcing interest established. [S154]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[S154]</x:v>
      </x:c>
    </x:row>
    <x:row r="69" ht="72" hidden="0" customHeight="1">
      <x:c r="A69" s="3" t="str">
        <x:v>L064</x:v>
      </x:c>
      <x:c r="B69" s="3" t="str">
        <x:v>CreditAccess Grameen Limited</x:v>
      </x:c>
      <x:c r="C69" s="3" t="str">
        <x:v>Public leadership evidence identifies Ganesh Narayanan as Managing Director &amp; CEO at CreditAccess Grameen Limited.
https://www.creditaccessgrameen.in/governance/management-team/</x:v>
      </x:c>
      <x:c r="D69" s="3" t="str">
        <x:v>Validate whether branch reporting, reconciliation or document review needs integration with existing systems; no software gap is established.</x:v>
      </x:c>
      <x:c r="E69" s="3" t="str">
        <x:v>Not established</x:v>
      </x:c>
      <x:c r="F69" s="3" t="str">
        <x:v>unknown</x:v>
      </x:c>
      <x:c r="G69" s="3" t="str">
        <x:v>Not established</x:v>
      </x:c>
      <x:c r="H69" s="3" t="str">
        <x:v>Verify an appropriate business contact route and validate need before drafting.</x:v>
      </x:c>
      <x:c r="I69" s="3" t="str">
        <x:v>Specific software or AI need; Budget and project timing; Purchasing authority; Prior outreach and do-not-contact history; Email deliverability</x:v>
      </x:c>
      <x:c r="J69" s="3" t="str">
        <x:v>https://www.creditaccessgrameen.in/governance/management-team/</x:v>
      </x:c>
      <x:c r="K69" s="3" t="str">
        <x:v>service_fit: 15 — Broad finance-operations fit; no specific software gap or outsourcing interest established. [S147]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[S147]</x:v>
      </x:c>
    </x:row>
    <x:row r="70" ht="72" hidden="0" customHeight="1">
      <x:c r="A70" s="8" t="str">
        <x:v>L065</x:v>
      </x:c>
      <x:c r="B70" s="8" t="str">
        <x:v>DJT Microfinance Pvt. Ltd.</x:v>
      </x:c>
      <x:c r="C70" s="8" t="str">
        <x:v>Sa-Dhan’s March 2026 list includes the organisation under NBFC - MFI in Uttar Pradesh.
https://www.sa-dhan.net/wp-content/uploads/2026/03/Memberlist_website26.xlsx</x:v>
      </x:c>
      <x:c r="D70" s="8" t="str">
        <x:v>Validate whether branch reporting, reconciliation or document review needs integration with existing systems; no software gap is established.</x:v>
      </x:c>
      <x:c r="E70" s="8" t="str">
        <x:v>Not established</x:v>
      </x:c>
      <x:c r="F70" s="8" t="str">
        <x:v>unknown</x:v>
      </x:c>
      <x:c r="G70" s="8" t="str">
        <x:v>Not established</x:v>
      </x:c>
      <x:c r="H70" s="8" t="str">
        <x:v>Verify direct business contact and discovery need.</x:v>
      </x:c>
      <x:c r="I70" s="8" t="str">
        <x:v>Specific software or AI need; Budget and project timing; Purchasing authority; Prior outreach and do-not-contact history; Email deliverability</x:v>
      </x:c>
      <x:c r="J70" s="8" t="str">
        <x:v>https://www.sa-dhan.net/wp-content/uploads/2026/03/Memberlist_website26.xlsx</x:v>
      </x:c>
      <x:c r="K70"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[S022]</x:v>
      </x:c>
    </x:row>
    <x:row r="71" ht="72" hidden="0" customHeight="1">
      <x:c r="A71" s="3" t="str">
        <x:v>L066</x:v>
      </x:c>
      <x:c r="B71" s="3" t="str">
        <x:v>ESAF Small Finance Bank Limited</x:v>
      </x:c>
      <x:c r="C71" s="3" t="str">
        <x:v>Public leadership evidence identifies K. Paul Thomas as Managing Director &amp; CEO at ESAF Small Finance Bank Limited.
https://nationalconference2026.sa-dhan.net/</x:v>
      </x:c>
      <x:c r="D71" s="3" t="str">
        <x:v>Validate whether branch reporting, reconciliation or document review needs integration with existing systems; no software gap is established.</x:v>
      </x:c>
      <x:c r="E71" s="3" t="str">
        <x:v>Not established</x:v>
      </x:c>
      <x:c r="F71" s="3" t="str">
        <x:v>unknown</x:v>
      </x:c>
      <x:c r="G71" s="3" t="str">
        <x:v>Not established</x:v>
      </x:c>
      <x:c r="H71" s="3" t="str">
        <x:v>Verify an appropriate business contact route and validate need before drafting.</x:v>
      </x:c>
      <x:c r="I71" s="3" t="str">
        <x:v>Specific software or AI need; Budget and project timing; Purchasing authority; Prior outreach and do-not-contact history; Email deliverability</x:v>
      </x:c>
      <x:c r="J71" s="3" t="str">
        <x:v>https://nationalconference2026.sa-dhan.net/</x:v>
      </x:c>
      <x:c r="K71" s="3" t="str">
        <x:v>service_fit: 15 — Broad finance-operations fit; no specific software gap or outsourcing interest established. [S015]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72" ht="72" hidden="0" customHeight="1">
      <x:c r="A72" s="8" t="str">
        <x:v>L067</x:v>
      </x:c>
      <x:c r="B72" s="8" t="str">
        <x:v>Five-Star Business Finance Limited</x:v>
      </x:c>
      <x:c r="C72" s="8" t="str">
        <x:v>Public leadership evidence identifies Lakshmipathy Deenadayalan as Chairman &amp; Managing Director at Five-Star Business Finance Limited.
https://fivestargroup.in/management-team/</x:v>
      </x:c>
      <x:c r="D72" s="8" t="str">
        <x:v>Validate whether branch reporting, reconciliation or document review needs integration with existing systems; no software gap is established.</x:v>
      </x:c>
      <x:c r="E72" s="8" t="str">
        <x:v>Not established</x:v>
      </x:c>
      <x:c r="F72" s="8" t="str">
        <x:v>unknown</x:v>
      </x:c>
      <x:c r="G72" s="8" t="str">
        <x:v>Not established</x:v>
      </x:c>
      <x:c r="H72" s="8" t="str">
        <x:v>Verify an appropriate business contact route and validate need before drafting.</x:v>
      </x:c>
      <x:c r="I72" s="8" t="str">
        <x:v>Specific software or AI need; Budget and project timing; Purchasing authority; Prior outreach and do-not-contact history; Email deliverability</x:v>
      </x:c>
      <x:c r="J72" s="8" t="str">
        <x:v>https://fivestargroup.in/management-team/</x:v>
      </x:c>
      <x:c r="K72" s="8" t="str">
        <x:v>service_fit: 15 — Broad finance-operations fit; no specific software gap or outsourcing interest established. [S157]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[S157]</x:v>
      </x:c>
    </x:row>
    <x:row r="73" ht="72" hidden="0" customHeight="1">
      <x:c r="A73" s="3" t="str">
        <x:v>L068</x:v>
      </x:c>
      <x:c r="B73" s="3" t="str">
        <x:v>FlexiLoans / Epimoney Private Limited</x:v>
      </x:c>
      <x:c r="C73" s="3" t="str">
        <x:v>Public leadership evidence identifies Deepak Jain as CEO &amp; Co-Founder at FlexiLoans / Epimoney Private Limited.
https://flexiloans.com/loan/team</x:v>
      </x:c>
      <x:c r="D73" s="3" t="str">
        <x:v>Validate whether branch reporting, reconciliation or document review needs integration with existing systems; no software gap is established.</x:v>
      </x:c>
      <x:c r="E73" s="3" t="str">
        <x:v>Not established</x:v>
      </x:c>
      <x:c r="F73" s="3" t="str">
        <x:v>unknown</x:v>
      </x:c>
      <x:c r="G73" s="3" t="str">
        <x:v>Not established</x:v>
      </x:c>
      <x:c r="H73" s="3" t="str">
        <x:v>Verify an appropriate business contact route and validate need before drafting.</x:v>
      </x:c>
      <x:c r="I73" s="3" t="str">
        <x:v>Specific software or AI need; Budget and project timing; Purchasing authority; Prior outreach and do-not-contact history; Email deliverability</x:v>
      </x:c>
      <x:c r="J73" s="3" t="str">
        <x:v>https://flexiloans.com/loan/team</x:v>
      </x:c>
      <x:c r="K73" s="3" t="str">
        <x:v>service_fit: 15 — Broad finance-operations fit; no specific software gap or outsourcing interest established. [S153]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[S153]</x:v>
      </x:c>
    </x:row>
    <x:row r="74" ht="72" hidden="0" customHeight="1">
      <x:c r="A74" s="8" t="str">
        <x:v>L069</x:v>
      </x:c>
      <x:c r="B74" s="8" t="str">
        <x:v>Fusion Finance Limited</x:v>
      </x:c>
      <x:c r="C74" s="8" t="str">
        <x:v>Public leadership evidence identifies Sunil Mundra as Chief Operating Officer – MFI at Fusion Finance Limited.
https://fusionfin.com/management-team/</x:v>
      </x:c>
      <x:c r="D74" s="8" t="str">
        <x:v>Validate whether branch reporting, reconciliation or document review needs integration with existing systems; no software gap is established.</x:v>
      </x:c>
      <x:c r="E74" s="8" t="str">
        <x:v>Not established</x:v>
      </x:c>
      <x:c r="F74" s="8" t="str">
        <x:v>unknown</x:v>
      </x:c>
      <x:c r="G74" s="8" t="str">
        <x:v>Not established</x:v>
      </x:c>
      <x:c r="H74" s="8" t="str">
        <x:v>Verify an appropriate business contact route and validate need before drafting.</x:v>
      </x:c>
      <x:c r="I74" s="8" t="str">
        <x:v>Specific software or AI need; Budget and project timing; Purchasing authority; Prior outreach and do-not-contact history; Email deliverability</x:v>
      </x:c>
      <x:c r="J74" s="8" t="str">
        <x:v>https://fusionfin.com/management-team/</x:v>
      </x:c>
      <x:c r="K74" s="8" t="str">
        <x:v>service_fit: 15 — Broad finance-operations fit; no specific software gap or outsourcing interest established. [S151]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[S151]</x:v>
      </x:c>
    </x:row>
    <x:row r="75" ht="72" hidden="0" customHeight="1">
      <x:c r="A75" s="3" t="str">
        <x:v>L070</x:v>
      </x:c>
      <x:c r="B75" s="3" t="str">
        <x:v>Hindusthan Microfinance Pvt Ltd</x:v>
      </x:c>
      <x:c r="C75" s="3" t="str">
        <x:v>Sa-Dhan’s March 2026 list includes the organisation under NBFC - MFI in Maharashtra.
https://www.sa-dhan.net/wp-content/uploads/2026/03/Memberlist_website26.xlsx</x:v>
      </x:c>
      <x:c r="D75" s="3" t="str">
        <x:v>Validate whether branch reporting, reconciliation or document review needs integration with existing systems; no software gap is established.</x:v>
      </x:c>
      <x:c r="E75" s="3" t="str">
        <x:v>Not established</x:v>
      </x:c>
      <x:c r="F75" s="3" t="str">
        <x:v>unknown</x:v>
      </x:c>
      <x:c r="G75" s="3" t="str">
        <x:v>Not established</x:v>
      </x:c>
      <x:c r="H75" s="3" t="str">
        <x:v>Verify direct business contact and discovery need.</x:v>
      </x:c>
      <x:c r="I75" s="3" t="str">
        <x:v>Specific software or AI need; Budget and project timing; Purchasing authority; Prior outreach and do-not-contact history; Email deliverability</x:v>
      </x:c>
      <x:c r="J75" s="3" t="str">
        <x:v>https://www.sa-dhan.net/wp-content/uploads/2026/03/Memberlist_website26.xlsx</x:v>
      </x:c>
      <x:c r="K7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[S041]</x:v>
      </x:c>
    </x:row>
    <x:row r="76" ht="72" hidden="0" customHeight="1">
      <x:c r="A76" s="8" t="str">
        <x:v>L071</x:v>
      </x:c>
      <x:c r="B76" s="8" t="str">
        <x:v>IDFC FIRST Bank Limited</x:v>
      </x:c>
      <x:c r="C76" s="8" t="str">
        <x:v>Public leadership evidence identifies V. Vaidyanathan as Managing Director &amp; CEO at IDFC FIRST Bank Limited.
https://nationalconference2026.sa-dhan.net/</x:v>
      </x:c>
      <x:c r="D76" s="8" t="str">
        <x:v>Validate whether branch reporting, reconciliation or document review needs integration with existing systems; no software gap is established.</x:v>
      </x:c>
      <x:c r="E76" s="8" t="str">
        <x:v>Not established</x:v>
      </x:c>
      <x:c r="F76" s="8" t="str">
        <x:v>unknown</x:v>
      </x:c>
      <x:c r="G76" s="8" t="str">
        <x:v>Not established</x:v>
      </x:c>
      <x:c r="H76" s="8" t="str">
        <x:v>Verify an appropriate business contact route and validate need before drafting.</x:v>
      </x:c>
      <x:c r="I76" s="8" t="str">
        <x:v>Specific software or AI need; Budget and project timing; Purchasing authority; Prior outreach and do-not-contact history; Email deliverability</x:v>
      </x:c>
      <x:c r="J76" s="8" t="str">
        <x:v>https://nationalconference2026.sa-dhan.net/</x:v>
      </x:c>
      <x:c r="K76" s="8" t="str">
        <x:v>service_fit: 15 — Broad finance-operations fit; no specific software gap or outsourcing interest established. [S015]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77" ht="72" hidden="0" customHeight="1">
      <x:c r="A77" s="3" t="str">
        <x:v>L072</x:v>
      </x:c>
      <x:c r="B77" s="3" t="str">
        <x:v>Jana Small Finance Bank Limited</x:v>
      </x:c>
      <x:c r="C77" s="3" t="str">
        <x:v>Public leadership evidence identifies Ashish Gopal Saxena as Chief Information &amp; Digital Officer at Jana Small Finance Bank Limited.
https://www.jana.bank.in/about-us/leadership-governance/management-team/</x:v>
      </x:c>
      <x:c r="D77" s="3" t="str">
        <x:v>Validate whether branch reporting, reconciliation or document review needs integration with existing systems; no software gap is established.</x:v>
      </x:c>
      <x:c r="E77" s="3" t="str">
        <x:v>Not established</x:v>
      </x:c>
      <x:c r="F77" s="3" t="str">
        <x:v>unknown</x:v>
      </x:c>
      <x:c r="G77" s="3" t="str">
        <x:v>Not established</x:v>
      </x:c>
      <x:c r="H77" s="3" t="str">
        <x:v>Verify an appropriate business contact route and validate need before drafting.</x:v>
      </x:c>
      <x:c r="I77" s="3" t="str">
        <x:v>Specific software or AI need; Budget and project timing; Purchasing authority; Prior outreach and do-not-contact history; Email deliverability</x:v>
      </x:c>
      <x:c r="J77" s="3" t="str">
        <x:v>https://www.jana.bank.in/about-us/leadership-governance/management-team/</x:v>
      </x:c>
      <x:c r="K77" s="3" t="str">
        <x:v>service_fit: 15 — Broad finance-operations fit; no specific software gap or outsourcing interest established. [S156]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[S156]</x:v>
      </x:c>
    </x:row>
    <x:row r="78" ht="72" hidden="0" customHeight="1">
      <x:c r="A78" s="8" t="str">
        <x:v>L073</x:v>
      </x:c>
      <x:c r="B78" s="8" t="str">
        <x:v>JMJ Microfin Private Limited</x:v>
      </x:c>
      <x:c r="C78" s="8" t="str">
        <x:v>Sa-Dhan’s March 2026 list includes the organisation under NBFC - MFI in Kerala.
https://www.sa-dhan.net/wp-content/uploads/2026/03/Memberlist_website26.xlsx
Membership name retained as an alias; current branding/name differs. Confirm contracting legal entity.
https://palmamicrofin.com/</x:v>
      </x:c>
      <x:c r="D78" s="8" t="str">
        <x:v>Validate whether branch reporting, reconciliation or document review needs integration with existing systems; no software gap is established.</x:v>
      </x:c>
      <x:c r="E78" s="8" t="str">
        <x:v>Not established</x:v>
      </x:c>
      <x:c r="F78" s="8" t="str">
        <x:v>unknown</x:v>
      </x:c>
      <x:c r="G78" s="8" t="str">
        <x:v>Not established</x:v>
      </x:c>
      <x:c r="H78" s="8" t="str">
        <x:v>Verify direct business contact and discovery need.</x:v>
      </x:c>
      <x:c r="I78" s="8" t="str">
        <x:v>Specific software or AI need; Budget and project timing; Purchasing authority; Prior outreach and do-not-contact history; Email deliverability</x:v>
      </x:c>
      <x:c r="J78" s="8" t="str">
        <x:v>https://www.sa-dhan.net/wp-content/uploads/2026/03/Memberlist_website26.xlsx</x:v>
      </x:c>
      <x:c r="K78"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[S076]</x:v>
      </x:c>
    </x:row>
    <x:row r="79" ht="72" hidden="0" customHeight="1">
      <x:c r="A79" s="3" t="str">
        <x:v>L074</x:v>
      </x:c>
      <x:c r="B79" s="3" t="str">
        <x:v>Kinara Capital</x:v>
      </x:c>
      <x:c r="C79" s="3" t="str">
        <x:v>Public leadership evidence identifies Hardika Shah as Founder &amp; CEO at Kinara Capital.
https://kinaracapital.com/teams/hardika-shah/</x:v>
      </x:c>
      <x:c r="D79" s="3" t="str">
        <x:v>Validate whether branch reporting, reconciliation or document review needs integration with existing systems; no software gap is established.</x:v>
      </x:c>
      <x:c r="E79" s="3" t="str">
        <x:v>Not established</x:v>
      </x:c>
      <x:c r="F79" s="3" t="str">
        <x:v>unknown</x:v>
      </x:c>
      <x:c r="G79" s="3" t="str">
        <x:v>Not established</x:v>
      </x:c>
      <x:c r="H79" s="3" t="str">
        <x:v>Verify an appropriate business contact route and validate need before drafting.</x:v>
      </x:c>
      <x:c r="I79" s="3" t="str">
        <x:v>Specific software or AI need; Budget and project timing; Purchasing authority; Prior outreach and do-not-contact history; Email deliverability</x:v>
      </x:c>
      <x:c r="J79" s="3" t="str">
        <x:v>https://kinaracapital.com/teams/hardika-shah/</x:v>
      </x:c>
      <x:c r="K79" s="3" t="str">
        <x:v>service_fit: 15 — Broad finance-operations fit; no specific software gap or outsourcing interest established. [S149]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[S149]</x:v>
      </x:c>
    </x:row>
    <x:row r="80" ht="72" hidden="0" customHeight="1">
      <x:c r="A80" s="8" t="str">
        <x:v>L075</x:v>
      </x:c>
      <x:c r="B80" s="8" t="str">
        <x:v>L&amp;T Finance Limited</x:v>
      </x:c>
      <x:c r="C80" s="8" t="str">
        <x:v>Public leadership evidence identifies Sudipta Roy as Managing Director &amp; CEO at L&amp;T Finance Limited.
https://mfinindia.org/about/leadership</x:v>
      </x:c>
      <x:c r="D80" s="8" t="str">
        <x:v>Validate whether branch reporting, reconciliation or document review needs integration with existing systems; no software gap is established.</x:v>
      </x:c>
      <x:c r="E80" s="8" t="str">
        <x:v>Not established</x:v>
      </x:c>
      <x:c r="F80" s="8" t="str">
        <x:v>unknown</x:v>
      </x:c>
      <x:c r="G80" s="8" t="str">
        <x:v>Not established</x:v>
      </x:c>
      <x:c r="H80" s="8" t="str">
        <x:v>Verify an appropriate business contact route and validate need before drafting.</x:v>
      </x:c>
      <x:c r="I80" s="8" t="str">
        <x:v>Specific software or AI need; Budget and project timing; Purchasing authority; Prior outreach and do-not-contact history; Email deliverability</x:v>
      </x:c>
      <x:c r="J80" s="8" t="str">
        <x:v>https://mfinindia.org/about/leadership</x:v>
      </x:c>
      <x:c r="K80" s="8"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81" ht="72" hidden="0" customHeight="1">
      <x:c r="A81" s="3" t="str">
        <x:v>L076</x:v>
      </x:c>
      <x:c r="B81" s="3" t="str">
        <x:v>Lendingkart</x:v>
      </x:c>
      <x:c r="C81" s="3" t="str">
        <x:v>Public leadership evidence identifies Prashant Prakash Joshi as Managing Director &amp; CEO at Lendingkart.
https://www.lendingkart.com/blog/management-team/prashant-prakash-joshi/</x:v>
      </x:c>
      <x:c r="D81" s="3" t="str">
        <x:v>Validate whether branch reporting, reconciliation or document review needs integration with existing systems; no software gap is established.</x:v>
      </x:c>
      <x:c r="E81" s="3" t="str">
        <x:v>Not established</x:v>
      </x:c>
      <x:c r="F81" s="3" t="str">
        <x:v>unknown</x:v>
      </x:c>
      <x:c r="G81" s="3" t="str">
        <x:v>Not established</x:v>
      </x:c>
      <x:c r="H81" s="3" t="str">
        <x:v>Verify an appropriate business contact route and validate need before drafting.</x:v>
      </x:c>
      <x:c r="I81" s="3" t="str">
        <x:v>Specific software or AI need; Budget and project timing; Purchasing authority; Prior outreach and do-not-contact history; Email deliverability</x:v>
      </x:c>
      <x:c r="J81" s="3" t="str">
        <x:v>https://www.lendingkart.com/blog/management-team/prashant-prakash-joshi/</x:v>
      </x:c>
      <x:c r="K81" s="3" t="str">
        <x:v>service_fit: 15 — Broad finance-operations fit; no specific software gap or outsourcing interest established. [S152]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[S152]</x:v>
      </x:c>
    </x:row>
    <x:row r="82" ht="72" hidden="0" customHeight="1">
      <x:c r="A82" s="8" t="str">
        <x:v>L077</x:v>
      </x:c>
      <x:c r="B82" s="8" t="str">
        <x:v>M Power Microfinance Private Limited</x:v>
      </x:c>
      <x:c r="C82" s="8" t="str">
        <x:v>Public leadership evidence identifies K. V. Balaji as Managing Director &amp; CEO at M Power Microfinance Private Limited.
https://mfinindia.org/about/leadership</x:v>
      </x:c>
      <x:c r="D82" s="8" t="str">
        <x:v>Validate whether branch reporting, reconciliation or document review needs integration with existing systems; no software gap is established.</x:v>
      </x:c>
      <x:c r="E82" s="8" t="str">
        <x:v>Not established</x:v>
      </x:c>
      <x:c r="F82" s="8" t="str">
        <x:v>unknown</x:v>
      </x:c>
      <x:c r="G82" s="8" t="str">
        <x:v>Not established</x:v>
      </x:c>
      <x:c r="H82" s="8" t="str">
        <x:v>Verify an appropriate business contact route and validate need before drafting.</x:v>
      </x:c>
      <x:c r="I82" s="8" t="str">
        <x:v>Specific software or AI need; Budget and project timing; Purchasing authority; Prior outreach and do-not-contact history; Email deliverability</x:v>
      </x:c>
      <x:c r="J82" s="8" t="str">
        <x:v>https://mfinindia.org/about/leadership</x:v>
      </x:c>
      <x:c r="K82" s="8"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83" ht="72" hidden="0" customHeight="1">
      <x:c r="A83" s="3" t="str">
        <x:v>L078</x:v>
      </x:c>
      <x:c r="B83" s="3" t="str">
        <x:v>NABFINS Limited</x:v>
      </x:c>
      <x:c r="C83" s="3" t="str">
        <x:v>Sa-Dhan’s March 2026 list includes the organisation under NBFC - MFI in Karnataka.
https://www.sa-dhan.net/wp-content/uploads/2026/03/Memberlist_website26.xlsx</x:v>
      </x:c>
      <x:c r="D83" s="3" t="str">
        <x:v>Validate whether branch reporting, reconciliation or document review needs integration with existing systems; no software gap is established.</x:v>
      </x:c>
      <x:c r="E83" s="3" t="str">
        <x:v>Not established</x:v>
      </x:c>
      <x:c r="F83" s="3" t="str">
        <x:v>unknown</x:v>
      </x:c>
      <x:c r="G83" s="3" t="str">
        <x:v>Not established</x:v>
      </x:c>
      <x:c r="H83" s="3" t="str">
        <x:v>Verify direct business contact and discovery need.</x:v>
      </x:c>
      <x:c r="I83" s="3" t="str">
        <x:v>Specific software or AI need; Budget and project timing; Purchasing authority; Prior outreach and do-not-contact history; Email deliverability</x:v>
      </x:c>
      <x:c r="J83" s="3" t="str">
        <x:v>https://www.sa-dhan.net/wp-content/uploads/2026/03/Memberlist_website26.xlsx</x:v>
      </x:c>
      <x:c r="K8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[S062]</x:v>
      </x:c>
    </x:row>
    <x:row r="84" ht="72" hidden="0" customHeight="1">
      <x:c r="A84" s="8" t="str">
        <x:v>L079</x:v>
      </x:c>
      <x:c r="B84" s="8" t="str">
        <x:v>Orange Retail Finance India Private Limited</x:v>
      </x:c>
      <x:c r="C84" s="8" t="str">
        <x:v>Sa-Dhan’s March 2026 list includes the organisation under NBFC in Tamil Nadu.
https://www.sa-dhan.net/wp-content/uploads/2026/03/Memberlist_website26.xlsx</x:v>
      </x:c>
      <x:c r="D84" s="8" t="str">
        <x:v>Validate whether branch reporting, reconciliation or document review needs integration with existing systems; no software gap is established.</x:v>
      </x:c>
      <x:c r="E84" s="8" t="str">
        <x:v>Not established</x:v>
      </x:c>
      <x:c r="F84" s="8" t="str">
        <x:v>unknown</x:v>
      </x:c>
      <x:c r="G84" s="8" t="str">
        <x:v>Not established</x:v>
      </x:c>
      <x:c r="H84" s="8" t="str">
        <x:v>Verify direct business contact and discovery need.</x:v>
      </x:c>
      <x:c r="I84" s="8" t="str">
        <x:v>Specific software or AI need; Budget and project timing; Purchasing authority; Prior outreach and do-not-contact history; Email deliverability</x:v>
      </x:c>
      <x:c r="J84" s="8" t="str">
        <x:v>https://www.sa-dhan.net/wp-content/uploads/2026/03/Memberlist_website26.xlsx</x:v>
      </x:c>
      <x:c r="K84"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[S070]</x:v>
      </x:c>
    </x:row>
    <x:row r="85" ht="72" hidden="0" customHeight="1">
      <x:c r="A85" s="3" t="str">
        <x:v>L080</x:v>
      </x:c>
      <x:c r="B85" s="3" t="str">
        <x:v>Piramal Finance Limited</x:v>
      </x:c>
      <x:c r="C85" s="3" t="str">
        <x:v>Public leadership evidence identifies Vikas Arora as Chief Operating Officer at Piramal Finance Limited.
https://mfinindia.org/about/leadership</x:v>
      </x:c>
      <x:c r="D85" s="3" t="str">
        <x:v>Validate whether branch reporting, reconciliation or document review needs integration with existing systems; no software gap is established.</x:v>
      </x:c>
      <x:c r="E85" s="3" t="str">
        <x:v>Not established</x:v>
      </x:c>
      <x:c r="F85" s="3" t="str">
        <x:v>unknown</x:v>
      </x:c>
      <x:c r="G85" s="3" t="str">
        <x:v>Not established</x:v>
      </x:c>
      <x:c r="H85" s="3" t="str">
        <x:v>Verify an appropriate business contact route and validate need before drafting.</x:v>
      </x:c>
      <x:c r="I85" s="3" t="str">
        <x:v>Specific software or AI need; Budget and project timing; Purchasing authority; Prior outreach and do-not-contact history; Email deliverability</x:v>
      </x:c>
      <x:c r="J85" s="3" t="str">
        <x:v>https://mfinindia.org/about/leadership</x:v>
      </x:c>
      <x:c r="K85" s="3"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86" ht="72" hidden="0" customHeight="1">
      <x:c r="A86" s="8" t="str">
        <x:v>L081</x:v>
      </x:c>
      <x:c r="B86" s="8" t="str">
        <x:v>Pragati Finserv</x:v>
      </x:c>
      <x:c r="C86" s="8" t="str">
        <x:v>Public leadership evidence identifies Jagadish Babu Ramadugu as Managing Director &amp; CEO at Pragati Finserv.
https://nationalconference2026.sa-dhan.net/</x:v>
      </x:c>
      <x:c r="D86" s="8" t="str">
        <x:v>Validate whether branch reporting, reconciliation or document review needs integration with existing systems; no software gap is established.</x:v>
      </x:c>
      <x:c r="E86" s="8" t="str">
        <x:v>Not established</x:v>
      </x:c>
      <x:c r="F86" s="8" t="str">
        <x:v>unknown</x:v>
      </x:c>
      <x:c r="G86" s="8" t="str">
        <x:v>Not established</x:v>
      </x:c>
      <x:c r="H86" s="8" t="str">
        <x:v>Verify an appropriate business contact route and validate need before drafting.</x:v>
      </x:c>
      <x:c r="I86" s="8" t="str">
        <x:v>Specific software or AI need; Budget and project timing; Purchasing authority; Prior outreach and do-not-contact history; Email deliverability</x:v>
      </x:c>
      <x:c r="J86" s="8" t="str">
        <x:v>https://nationalconference2026.sa-dhan.net/</x:v>
      </x:c>
      <x:c r="K86" s="8" t="str">
        <x:v>service_fit: 15 — Broad finance-operations fit; no specific software gap or outsourcing interest established. [S015]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87" ht="72" hidden="0" customHeight="1">
      <x:c r="A87" s="3" t="str">
        <x:v>L082</x:v>
      </x:c>
      <x:c r="B87" s="3" t="str">
        <x:v>Prayas Financial Services Pvt. Ltd.</x:v>
      </x:c>
      <x:c r="C87" s="3" t="str">
        <x:v>Sa-Dhan’s March 2026 list includes the organisation under NBFC - MFI in Haryana.
https://www.sa-dhan.net/wp-content/uploads/2026/03/Memberlist_website26.xlsx</x:v>
      </x:c>
      <x:c r="D87" s="3" t="str">
        <x:v>Validate whether branch reporting, reconciliation or document review needs integration with existing systems; no software gap is established.</x:v>
      </x:c>
      <x:c r="E87" s="3" t="str">
        <x:v>Not established</x:v>
      </x:c>
      <x:c r="F87" s="3" t="str">
        <x:v>unknown</x:v>
      </x:c>
      <x:c r="G87" s="3" t="str">
        <x:v>Not established</x:v>
      </x:c>
      <x:c r="H87" s="3" t="str">
        <x:v>Verify direct business contact and discovery need.</x:v>
      </x:c>
      <x:c r="I87" s="3" t="str">
        <x:v>Specific software or AI need; Budget and project timing; Purchasing authority; Prior outreach and do-not-contact history; Email deliverability</x:v>
      </x:c>
      <x:c r="J87" s="3" t="str">
        <x:v>https://www.sa-dhan.net/wp-content/uploads/2026/03/Memberlist_website26.xlsx</x:v>
      </x:c>
      <x:c r="K87"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[S079]</x:v>
      </x:c>
    </x:row>
    <x:row r="88" ht="72" hidden="0" customHeight="1">
      <x:c r="A88" s="8" t="str">
        <x:v>L083</x:v>
      </x:c>
      <x:c r="B88" s="8" t="str">
        <x:v>REPCO Microfinance Ltd.</x:v>
      </x:c>
      <x:c r="C88" s="8" t="str">
        <x:v>Sa-Dhan’s March 2026 list includes the organisation under NBFC - MFI in Tamil Nadu.
https://www.sa-dhan.net/wp-content/uploads/2026/03/Memberlist_website26.xlsx</x:v>
      </x:c>
      <x:c r="D88" s="8" t="str">
        <x:v>Validate whether branch reporting, reconciliation or document review needs integration with existing systems; no software gap is established.</x:v>
      </x:c>
      <x:c r="E88" s="8" t="str">
        <x:v>Not established</x:v>
      </x:c>
      <x:c r="F88" s="8" t="str">
        <x:v>unknown</x:v>
      </x:c>
      <x:c r="G88" s="8" t="str">
        <x:v>Not established</x:v>
      </x:c>
      <x:c r="H88" s="8" t="str">
        <x:v>Verify direct business contact and discovery need.</x:v>
      </x:c>
      <x:c r="I88" s="8" t="str">
        <x:v>Specific software or AI need; Budget and project timing; Purchasing authority; Prior outreach and do-not-contact history; Email deliverability</x:v>
      </x:c>
      <x:c r="J88" s="8" t="str">
        <x:v>https://www.sa-dhan.net/wp-content/uploads/2026/03/Memberlist_website26.xlsx</x:v>
      </x:c>
      <x:c r="K88"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[S082]</x:v>
      </x:c>
    </x:row>
    <x:row r="89" ht="72" hidden="0" customHeight="1">
      <x:c r="A89" s="3" t="str">
        <x:v>L084</x:v>
      </x:c>
      <x:c r="B89" s="3" t="str">
        <x:v>Servitium Micro Finance Private Limited</x:v>
      </x:c>
      <x:c r="C89" s="3" t="str">
        <x:v>Sa-Dhan’s March 2026 list includes the organisation under NBFC - MFI in West Bengal.
https://www.sa-dhan.net/wp-content/uploads/2026/03/Memberlist_website26.xlsx</x:v>
      </x:c>
      <x:c r="D89" s="3" t="str">
        <x:v>Validate whether branch reporting, reconciliation or document review needs integration with existing systems; no software gap is established.</x:v>
      </x:c>
      <x:c r="E89" s="3" t="str">
        <x:v>Not established</x:v>
      </x:c>
      <x:c r="F89" s="3" t="str">
        <x:v>unknown</x:v>
      </x:c>
      <x:c r="G89" s="3" t="str">
        <x:v>Not established</x:v>
      </x:c>
      <x:c r="H89" s="3" t="str">
        <x:v>Verify direct business contact and discovery need.</x:v>
      </x:c>
      <x:c r="I89" s="3" t="str">
        <x:v>Specific software or AI need; Budget and project timing; Purchasing authority; Prior outreach and do-not-contact history; Email deliverability</x:v>
      </x:c>
      <x:c r="J89" s="3" t="str">
        <x:v>https://www.sa-dhan.net/wp-content/uploads/2026/03/Memberlist_website26.xlsx</x:v>
      </x:c>
      <x:c r="K89"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[S103]</x:v>
      </x:c>
    </x:row>
    <x:row r="90" ht="72" hidden="0" customHeight="1">
      <x:c r="A90" s="8" t="str">
        <x:v>L085</x:v>
      </x:c>
      <x:c r="B90" s="8" t="str">
        <x:v>Sindhuja Microcredit Private Limited</x:v>
      </x:c>
      <x:c r="C90" s="8" t="str">
        <x:v>Sa-Dhan’s March 2026 list includes the organisation under NBFC - MFI in Uttar Pradesh.
https://www.sa-dhan.net/wp-content/uploads/2026/03/Memberlist_website26.xlsx</x:v>
      </x:c>
      <x:c r="D90" s="8" t="str">
        <x:v>Validate whether branch reporting, reconciliation or document review needs integration with existing systems; no software gap is established.</x:v>
      </x:c>
      <x:c r="E90" s="8" t="str">
        <x:v>Not established</x:v>
      </x:c>
      <x:c r="F90" s="8" t="str">
        <x:v>unknown</x:v>
      </x:c>
      <x:c r="G90" s="8" t="str">
        <x:v>Not established</x:v>
      </x:c>
      <x:c r="H90" s="8" t="str">
        <x:v>Verify direct business contact and discovery need.</x:v>
      </x:c>
      <x:c r="I90" s="8" t="str">
        <x:v>Specific software or AI need; Budget and project timing; Purchasing authority; Prior outreach and do-not-contact history; Email deliverability</x:v>
      </x:c>
      <x:c r="J90" s="8" t="str">
        <x:v>https://www.sa-dhan.net/wp-content/uploads/2026/03/Memberlist_website26.xlsx</x:v>
      </x:c>
      <x:c r="K90"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x:v>
      </x:c>
    </x:row>
    <x:row r="91" ht="72" hidden="0" customHeight="1">
      <x:c r="A91" s="3" t="str">
        <x:v>L086</x:v>
      </x:c>
      <x:c r="B91" s="3" t="str">
        <x:v>SKDRDP BC Trust</x:v>
      </x:c>
      <x:c r="C91" s="3" t="str">
        <x:v>Public leadership evidence identifies Anil Kumar S. S. as Chief Executive Officer at SKDRDP BC Trust.
https://nationalconference2026.sa-dhan.net/</x:v>
      </x:c>
      <x:c r="D91" s="3" t="str">
        <x:v>Validate whether branch reporting, reconciliation or document review needs integration with existing systems; no software gap is established.</x:v>
      </x:c>
      <x:c r="E91" s="3" t="str">
        <x:v>Not established</x:v>
      </x:c>
      <x:c r="F91" s="3" t="str">
        <x:v>unknown</x:v>
      </x:c>
      <x:c r="G91" s="3" t="str">
        <x:v>Not established</x:v>
      </x:c>
      <x:c r="H91" s="3" t="str">
        <x:v>Verify an appropriate business contact route and validate need before drafting.</x:v>
      </x:c>
      <x:c r="I91" s="3" t="str">
        <x:v>Specific software or AI need; Budget and project timing; Purchasing authority; Prior outreach and do-not-contact history; Email deliverability</x:v>
      </x:c>
      <x:c r="J91" s="3" t="str">
        <x:v>https://nationalconference2026.sa-dhan.net/</x:v>
      </x:c>
      <x:c r="K91" s="3" t="str">
        <x:v>service_fit: 15 — Broad finance-operations fit; no specific software gap or outsourcing interest established. [S015]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92" ht="72" hidden="0" customHeight="1">
      <x:c r="A92" s="8" t="str">
        <x:v>L087</x:v>
      </x:c>
      <x:c r="B92" s="8" t="str">
        <x:v>South Indian Credit Ltd</x:v>
      </x:c>
      <x:c r="C92" s="8" t="str">
        <x:v>Sa-Dhan’s March 2026 list includes the organisation under NBFC - MFI in Kerala.
https://www.sa-dhan.net/wp-content/uploads/2026/03/Memberlist_website26.xlsx</x:v>
      </x:c>
      <x:c r="D92" s="8" t="str">
        <x:v>Validate whether branch reporting, reconciliation or document review needs integration with existing systems; no software gap is established.</x:v>
      </x:c>
      <x:c r="E92" s="8" t="str">
        <x:v>Not established</x:v>
      </x:c>
      <x:c r="F92" s="8" t="str">
        <x:v>unknown</x:v>
      </x:c>
      <x:c r="G92" s="8" t="str">
        <x:v>Not established</x:v>
      </x:c>
      <x:c r="H92" s="8" t="str">
        <x:v>Verify direct business contact and discovery need.</x:v>
      </x:c>
      <x:c r="I92" s="8" t="str">
        <x:v>Specific software or AI need; Budget and project timing; Purchasing authority; Prior outreach and do-not-contact history; Email deliverability</x:v>
      </x:c>
      <x:c r="J92" s="8" t="str">
        <x:v>https://www.sa-dhan.net/wp-content/uploads/2026/03/Memberlist_website26.xlsx</x:v>
      </x:c>
      <x:c r="K92" s="8"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[S112]</x:v>
      </x:c>
    </x:row>
    <x:row r="93" ht="72" hidden="0" customHeight="1">
      <x:c r="A93" s="3" t="str">
        <x:v>L088</x:v>
      </x:c>
      <x:c r="B93" s="3" t="str">
        <x:v>Spandana Sphoorty Financial Limited</x:v>
      </x:c>
      <x:c r="C93" s="3" t="str">
        <x:v>Sa-Dhan’s March 2026 list includes the organisation under NBFC - MFI in Telangana.
https://www.sa-dhan.net/wp-content/uploads/2026/03/Memberlist_website26.xlsx</x:v>
      </x:c>
      <x:c r="D93" s="3" t="str">
        <x:v>Validate whether branch reporting, reconciliation or document review needs integration with existing systems; no software gap is established.</x:v>
      </x:c>
      <x:c r="E93" s="3" t="str">
        <x:v>Not established</x:v>
      </x:c>
      <x:c r="F93" s="3" t="str">
        <x:v>unknown</x:v>
      </x:c>
      <x:c r="G93" s="3" t="str">
        <x:v>Not established</x:v>
      </x:c>
      <x:c r="H93" s="3" t="str">
        <x:v>Verify direct business contact and discovery need.</x:v>
      </x:c>
      <x:c r="I93" s="3" t="str">
        <x:v>Specific software or AI need; Budget and project timing; Purchasing authority; Prior outreach and do-not-contact history; Email deliverability</x:v>
      </x:c>
      <x:c r="J93" s="3" t="str">
        <x:v>https://www.sa-dhan.net/wp-content/uploads/2026/03/Memberlist_website26.xlsx</x:v>
      </x:c>
      <x:c r="K9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[S022]</x:v>
      </x:c>
    </x:row>
    <x:row r="94" ht="72" hidden="0" customHeight="1">
      <x:c r="A94" s="8" t="str">
        <x:v>L089</x:v>
      </x:c>
      <x:c r="B94" s="8" t="str">
        <x:v>Suryoday Small Finance Bank Limited</x:v>
      </x:c>
      <x:c r="C94" s="8" t="str">
        <x:v>Public leadership evidence identifies R. Baskar Babu as Managing Director &amp; CEO at Suryoday Small Finance Bank Limited.
https://mfinindia.org/about/leadership</x:v>
      </x:c>
      <x:c r="D94" s="8" t="str">
        <x:v>Validate whether branch reporting, reconciliation or document review needs integration with existing systems; no software gap is established.</x:v>
      </x:c>
      <x:c r="E94" s="8" t="str">
        <x:v>Not established</x:v>
      </x:c>
      <x:c r="F94" s="8" t="str">
        <x:v>unknown</x:v>
      </x:c>
      <x:c r="G94" s="8" t="str">
        <x:v>Not established</x:v>
      </x:c>
      <x:c r="H94" s="8" t="str">
        <x:v>Verify an appropriate business contact route and validate need before drafting.</x:v>
      </x:c>
      <x:c r="I94" s="8" t="str">
        <x:v>Specific software or AI need; Budget and project timing; Purchasing authority; Prior outreach and do-not-contact history; Email deliverability</x:v>
      </x:c>
      <x:c r="J94" s="8" t="str">
        <x:v>https://mfinindia.org/about/leadership</x:v>
      </x:c>
      <x:c r="K94" s="8"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95" ht="84" hidden="0" customHeight="1">
      <x:c r="A95" s="3" t="str">
        <x:v>L090</x:v>
      </x:c>
      <x:c r="B95" s="3" t="str">
        <x:v>Svatantra Microfin Limited</x:v>
      </x:c>
      <x:c r="C95" s="3" t="str">
        <x:v>Sa-Dhan’s March 2026 list includes the organisation under NBFC - MFI in Maharashtra.
https://www.sa-dhan.net/wp-content/uploads/2026/03/Memberlist_website26.xlsx
Membership name retained as an alias; current branding/name differs. Confirm contracting legal entity.
https://nationalconference2026.sa-dhan.net/</x:v>
      </x:c>
      <x:c r="D95" s="3" t="str">
        <x:v>Validate whether branch reporting, reconciliation or document review needs integration with existing systems; no software gap is established.</x:v>
      </x:c>
      <x:c r="E95" s="3" t="str">
        <x:v>Not established</x:v>
      </x:c>
      <x:c r="F95" s="3" t="str">
        <x:v>unknown</x:v>
      </x:c>
      <x:c r="G95" s="3" t="str">
        <x:v>Not established</x:v>
      </x:c>
      <x:c r="H95" s="3" t="str">
        <x:v>Verify direct business contact and discovery need.</x:v>
      </x:c>
      <x:c r="I95" s="3" t="str">
        <x:v>Specific software or AI need; Budget and project timing; Purchasing authority; Prior outreach and do-not-contact history; Email deliverability</x:v>
      </x:c>
      <x:c r="J95" s="3" t="str">
        <x:v>https://www.sa-dhan.net/wp-content/uploads/2026/03/Memberlist_website26.xlsx</x:v>
      </x:c>
      <x:c r="K95"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[S015]</x:v>
      </x:c>
    </x:row>
    <x:row r="96" ht="72" hidden="0" customHeight="1">
      <x:c r="A96" s="8" t="str">
        <x:v>L091</x:v>
      </x:c>
      <x:c r="B96" s="8" t="str">
        <x:v>UFin Financial Services Limited</x:v>
      </x:c>
      <x:c r="C96" s="8" t="str">
        <x:v>Public leadership evidence identifies Vasanth Vasu as Joint Managing Director at UFin Financial Services Limited.
https://mfinindia.org/about/leadership</x:v>
      </x:c>
      <x:c r="D96" s="8" t="str">
        <x:v>Validate whether branch reporting, reconciliation or document review needs integration with existing systems; no software gap is established.</x:v>
      </x:c>
      <x:c r="E96" s="8" t="str">
        <x:v>Not established</x:v>
      </x:c>
      <x:c r="F96" s="8" t="str">
        <x:v>unknown</x:v>
      </x:c>
      <x:c r="G96" s="8" t="str">
        <x:v>Not established</x:v>
      </x:c>
      <x:c r="H96" s="8" t="str">
        <x:v>Verify an appropriate business contact route and validate need before drafting.</x:v>
      </x:c>
      <x:c r="I96" s="8" t="str">
        <x:v>Specific software or AI need; Budget and project timing; Purchasing authority; Prior outreach and do-not-contact history; Email deliverability</x:v>
      </x:c>
      <x:c r="J96" s="8" t="str">
        <x:v>https://mfinindia.org/about/leadership</x:v>
      </x:c>
      <x:c r="K96" s="8" t="str">
        <x:v>service_fit: 15 — Broad finance-operations fit; no specific software gap or outsourcing interest established. [S022]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[S022]</x:v>
      </x:c>
    </x:row>
    <x:row r="97" ht="72" hidden="0" customHeight="1">
      <x:c r="A97" s="3" t="str">
        <x:v>L092</x:v>
      </x:c>
      <x:c r="B97" s="3" t="str">
        <x:v>UGRO Capital Limited</x:v>
      </x:c>
      <x:c r="C97" s="3" t="str">
        <x:v>Public leadership evidence identifies Anuj Pandey as Chief Executive Officer at UGRO Capital Limited.
https://www.ugrocapital.com/about</x:v>
      </x:c>
      <x:c r="D97" s="3" t="str">
        <x:v>Validate whether branch reporting, reconciliation or document review needs integration with existing systems; no software gap is established.</x:v>
      </x:c>
      <x:c r="E97" s="3" t="str">
        <x:v>Not established</x:v>
      </x:c>
      <x:c r="F97" s="3" t="str">
        <x:v>unknown</x:v>
      </x:c>
      <x:c r="G97" s="3" t="str">
        <x:v>Not established</x:v>
      </x:c>
      <x:c r="H97" s="3" t="str">
        <x:v>Verify an appropriate business contact route and validate need before drafting.</x:v>
      </x:c>
      <x:c r="I97" s="3" t="str">
        <x:v>Specific software or AI need; Budget and project timing; Purchasing authority; Prior outreach and do-not-contact history; Email deliverability</x:v>
      </x:c>
      <x:c r="J97" s="3" t="str">
        <x:v>https://www.ugrocapital.com/about</x:v>
      </x:c>
      <x:c r="K97" s="3" t="str">
        <x:v>service_fit: 15 — Broad finance-operations fit; no specific software gap or outsourcing interest established. [S150]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[S150]</x:v>
      </x:c>
    </x:row>
    <x:row r="98" ht="72" hidden="0" customHeight="1">
      <x:c r="A98" s="8" t="str">
        <x:v>L093</x:v>
      </x:c>
      <x:c r="B98" s="8" t="str">
        <x:v>Unity Small Finance Bank Limited</x:v>
      </x:c>
      <x:c r="C98" s="8" t="str">
        <x:v>Public leadership evidence identifies Inderjit Camotra as Managing Director &amp; CEO at Unity Small Finance Bank Limited.
https://nationalconference2026.sa-dhan.net/</x:v>
      </x:c>
      <x:c r="D98" s="8" t="str">
        <x:v>Validate whether branch reporting, reconciliation or document review needs integration with existing systems; no software gap is established.</x:v>
      </x:c>
      <x:c r="E98" s="8" t="str">
        <x:v>Not established</x:v>
      </x:c>
      <x:c r="F98" s="8" t="str">
        <x:v>unknown</x:v>
      </x:c>
      <x:c r="G98" s="8" t="str">
        <x:v>Not established</x:v>
      </x:c>
      <x:c r="H98" s="8" t="str">
        <x:v>Verify an appropriate business contact route and validate need before drafting.</x:v>
      </x:c>
      <x:c r="I98" s="8" t="str">
        <x:v>Specific software or AI need; Budget and project timing; Purchasing authority; Prior outreach and do-not-contact history; Email deliverability</x:v>
      </x:c>
      <x:c r="J98" s="8" t="str">
        <x:v>https://nationalconference2026.sa-dhan.net/</x:v>
      </x:c>
      <x:c r="K98" s="8" t="str">
        <x:v>service_fit: 15 — Broad finance-operations fit; no specific software gap or outsourcing interest established. [S015]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99" ht="72" hidden="0" customHeight="1">
      <x:c r="A99" s="3" t="str">
        <x:v>L094</x:v>
      </x:c>
      <x:c r="B99" s="3" t="str">
        <x:v>Unnatti Finserv Private Limited</x:v>
      </x:c>
      <x:c r="C99" s="3" t="str">
        <x:v>Sa-Dhan’s March 2026 list includes the organisation under NBFC in Maharashtra.
https://www.sa-dhan.net/wp-content/uploads/2026/03/Memberlist_website26.xlsx
Membership name retained as an alias; current branding/name differs. Confirm contracting legal entity.
https://unnattifinserv.com/board-of-directors.html</x:v>
      </x:c>
      <x:c r="D99" s="3" t="str">
        <x:v>Validate whether branch reporting, reconciliation or document review needs integration with existing systems; no software gap is established.</x:v>
      </x:c>
      <x:c r="E99" s="3" t="str">
        <x:v>Not established</x:v>
      </x:c>
      <x:c r="F99" s="3" t="str">
        <x:v>unknown</x:v>
      </x:c>
      <x:c r="G99" s="3" t="str">
        <x:v>Not established</x:v>
      </x:c>
      <x:c r="H99" s="3" t="str">
        <x:v>Verify direct business contact and discovery need.</x:v>
      </x:c>
      <x:c r="I99" s="3" t="str">
        <x:v>Specific software or AI need; Budget and project timing; Purchasing authority; Prior outreach and do-not-contact history; Email deliverability</x:v>
      </x:c>
      <x:c r="J99" s="3" t="str">
        <x:v>https://www.sa-dhan.net/wp-content/uploads/2026/03/Memberlist_website26.xlsx</x:v>
      </x:c>
      <x:c r="K99"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[S124]</x:v>
      </x:c>
    </x:row>
    <x:row r="100" ht="72" hidden="0" customHeight="1">
      <x:c r="A100" s="8" t="str">
        <x:v>L095</x:v>
      </x:c>
      <x:c r="B100" s="8" t="str">
        <x:v>Utkarsh Small Finance Bank Limited</x:v>
      </x:c>
      <x:c r="C100" s="8" t="str">
        <x:v>Public leadership evidence identifies Govind Singh as Managing Director &amp; CEO at Utkarsh Small Finance Bank Limited.
https://nationalconference2026.sa-dhan.net/</x:v>
      </x:c>
      <x:c r="D100" s="8" t="str">
        <x:v>Validate whether branch reporting, reconciliation or document review needs integration with existing systems; no software gap is established.</x:v>
      </x:c>
      <x:c r="E100" s="8" t="str">
        <x:v>Not established</x:v>
      </x:c>
      <x:c r="F100" s="8" t="str">
        <x:v>unknown</x:v>
      </x:c>
      <x:c r="G100" s="8" t="str">
        <x:v>Not established</x:v>
      </x:c>
      <x:c r="H100" s="8" t="str">
        <x:v>Verify an appropriate business contact route and validate need before drafting.</x:v>
      </x:c>
      <x:c r="I100" s="8" t="str">
        <x:v>Specific software or AI need; Budget and project timing; Purchasing authority; Prior outreach and do-not-contact history; Email deliverability</x:v>
      </x:c>
      <x:c r="J100" s="8" t="str">
        <x:v>https://nationalconference2026.sa-dhan.net/</x:v>
      </x:c>
      <x:c r="K100" s="8" t="str">
        <x:v>service_fit: 15 — Broad finance-operations fit; no specific software gap or outsourcing interest established. [S015]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101" ht="72" hidden="0" customHeight="1">
      <x:c r="A101" s="3" t="str">
        <x:v>L096</x:v>
      </x:c>
      <x:c r="B101" s="3" t="str">
        <x:v>Vedika Credit Capital Ltd.</x:v>
      </x:c>
      <x:c r="C101" s="3" t="str">
        <x:v>Sa-Dhan’s March 2026 list includes the organisation under NBFC - MFI in Jharkhand.
https://www.sa-dhan.net/wp-content/uploads/2026/03/Memberlist_website26.xlsx</x:v>
      </x:c>
      <x:c r="D101" s="3" t="str">
        <x:v>Validate whether branch reporting, reconciliation or document review needs integration with existing systems; no software gap is established.</x:v>
      </x:c>
      <x:c r="E101" s="3" t="str">
        <x:v>Not established</x:v>
      </x:c>
      <x:c r="F101" s="3" t="str">
        <x:v>unknown</x:v>
      </x:c>
      <x:c r="G101" s="3" t="str">
        <x:v>Not established</x:v>
      </x:c>
      <x:c r="H101" s="3" t="str">
        <x:v>Verify direct business contact and discovery need.</x:v>
      </x:c>
      <x:c r="I101" s="3" t="str">
        <x:v>Specific software or AI need; Budget and project timing; Purchasing authority; Prior outreach and do-not-contact history; Email deliverability</x:v>
      </x:c>
      <x:c r="J101" s="3" t="str">
        <x:v>https://www.sa-dhan.net/wp-content/uploads/2026/03/Memberlist_website26.xlsx</x:v>
      </x:c>
      <x:c r="K101"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[S134]</x:v>
      </x:c>
    </x:row>
    <x:row r="102" ht="72" hidden="0" customHeight="1">
      <x:c r="A102" s="8" t="str">
        <x:v>L097</x:v>
      </x:c>
      <x:c r="B102" s="8" t="str">
        <x:v>Veritas Finance Limited</x:v>
      </x:c>
      <x:c r="C102" s="8" t="str">
        <x:v>Public leadership evidence identifies D. Arulmany as Founder, Managing Director &amp; CEO at Veritas Finance Limited.
https://www.veritasfin.in/teamveritas.php</x:v>
      </x:c>
      <x:c r="D102" s="8" t="str">
        <x:v>Validate whether branch reporting, reconciliation or document review needs integration with existing systems; no software gap is established.</x:v>
      </x:c>
      <x:c r="E102" s="8" t="str">
        <x:v>Not established</x:v>
      </x:c>
      <x:c r="F102" s="8" t="str">
        <x:v>unknown</x:v>
      </x:c>
      <x:c r="G102" s="8" t="str">
        <x:v>Not established</x:v>
      </x:c>
      <x:c r="H102" s="8" t="str">
        <x:v>Verify an appropriate business contact route and validate need before drafting.</x:v>
      </x:c>
      <x:c r="I102" s="8" t="str">
        <x:v>Specific software or AI need; Budget and project timing; Purchasing authority; Prior outreach and do-not-contact history; Email deliverability</x:v>
      </x:c>
      <x:c r="J102" s="8" t="str">
        <x:v>https://www.veritasfin.in/teamveritas.php</x:v>
      </x:c>
      <x:c r="K102" s="8" t="str">
        <x:v>service_fit: 15 — Broad finance-operations fit; no specific software gap or outsourcing interest established. [S155]
proof_fit: 20 — Kinyoubi financial-institution MIS data/infrastructure foundation; adjacent only for payments and financial technology providers. [S002]
buyer_role: 15 — Relevant named executive on a live company page or 2026 industry leadership listing; purchasing authority not confirmed. [S155]</x:v>
      </x:c>
    </x:row>
    <x:row r="103" ht="72" hidden="0" customHeight="1">
      <x:c r="A103" s="3" t="str">
        <x:v>L098</x:v>
      </x:c>
      <x:c r="B103" s="3" t="str">
        <x:v>VFS Capital Ltd</x:v>
      </x:c>
      <x:c r="C103" s="3" t="str">
        <x:v>Sa-Dhan’s March 2026 list includes the organisation under NBFC - MFI in West Bengal.
https://www.sa-dhan.net/wp-content/uploads/2026/03/Memberlist_website26.xlsx</x:v>
      </x:c>
      <x:c r="D103" s="3" t="str">
        <x:v>Validate whether branch reporting, reconciliation or document review needs integration with existing systems; no software gap is established.</x:v>
      </x:c>
      <x:c r="E103" s="3" t="str">
        <x:v>Not established</x:v>
      </x:c>
      <x:c r="F103" s="3" t="str">
        <x:v>unknown</x:v>
      </x:c>
      <x:c r="G103" s="3" t="str">
        <x:v>Not established</x:v>
      </x:c>
      <x:c r="H103" s="3" t="str">
        <x:v>Verify direct business contact and discovery need.</x:v>
      </x:c>
      <x:c r="I103" s="3" t="str">
        <x:v>Specific software or AI need; Budget and project timing; Purchasing authority; Prior outreach and do-not-contact history; Email deliverability</x:v>
      </x:c>
      <x:c r="J103" s="3" t="str">
        <x:v>https://www.sa-dhan.net/wp-content/uploads/2026/03/Memberlist_website26.xlsx</x:v>
      </x:c>
      <x:c r="K103" s="3" t="str">
        <x:v>service_fit: 15 — Broad finance-operations fit based on business sector; specific pain is unknown. [S001]
proof_fit: 20 — Same regulated-finance domain as Kinyoubi’s MIS data/infrastructure foundation; production outcomes are not claimed. [S002]
buyer_role: 15 — Relevant named executive is supported by a live company or current industry page. Purchasing authority remains unconfirmed. [S137]</x:v>
      </x:c>
    </x:row>
    <x:row r="104" ht="72" hidden="0" customHeight="1">
      <x:c r="A104" s="8" t="str">
        <x:v>L099</x:v>
      </x:c>
      <x:c r="B104" s="8" t="str">
        <x:v>Kaleidofin</x:v>
      </x:c>
      <x:c r="C104" s="8" t="str">
        <x:v>Public leadership evidence identifies Vipul Sekhsaria as Co-founder &amp; COO at Kaleidofin.
https://nationalconference2026.sa-dhan.net/</x:v>
      </x:c>
      <x:c r="D104" s="8" t="str">
        <x:v>Validate whether branch reporting, reconciliation or document review needs integration with existing systems; no software gap is established.</x:v>
      </x:c>
      <x:c r="E104" s="8" t="str">
        <x:v>Not established</x:v>
      </x:c>
      <x:c r="F104" s="8" t="str">
        <x:v>unknown</x:v>
      </x:c>
      <x:c r="G104" s="8" t="str">
        <x:v>Not established</x:v>
      </x:c>
      <x:c r="H104" s="8" t="str">
        <x:v>Verify an appropriate business contact route and validate need before drafting.</x:v>
      </x:c>
      <x:c r="I104" s="8" t="str">
        <x:v>Specific software or AI need; Budget and project timing; Purchasing authority; Prior outreach and do-not-contact history; Email deliverability</x:v>
      </x:c>
      <x:c r="J104" s="8" t="str">
        <x:v>https://nationalconference2026.sa-dhan.net/</x:v>
      </x:c>
      <x:c r="K104" s="8" t="str">
        <x:v>service_fit: 15 — Broad finance-operations fit; no specific software gap or outsourcing interest established. [S015]
proof_fit: 10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row r="105" ht="72" hidden="0" customHeight="1">
      <x:c r="A105" s="3" t="str">
        <x:v>L100</x:v>
      </x:c>
      <x:c r="B105" s="3" t="str">
        <x:v>NPCI Bharat BillPay Limited</x:v>
      </x:c>
      <x:c r="C105" s="3" t="str">
        <x:v>Public leadership evidence identifies Noopur Chaturvedi as Managing Director &amp; CEO at NPCI Bharat BillPay Limited.
https://nationalconference2026.sa-dhan.net/</x:v>
      </x:c>
      <x:c r="D105" s="3" t="str">
        <x:v>Validate whether branch reporting, reconciliation or document review needs integration with existing systems; no software gap is established.</x:v>
      </x:c>
      <x:c r="E105" s="3" t="str">
        <x:v>Not established</x:v>
      </x:c>
      <x:c r="F105" s="3" t="str">
        <x:v>unknown</x:v>
      </x:c>
      <x:c r="G105" s="3" t="str">
        <x:v>Not established</x:v>
      </x:c>
      <x:c r="H105" s="3" t="str">
        <x:v>Verify an appropriate business contact route and validate need before drafting.</x:v>
      </x:c>
      <x:c r="I105" s="3" t="str">
        <x:v>Specific software or AI need; Budget and project timing; Purchasing authority; Prior outreach and do-not-contact history; Email deliverability</x:v>
      </x:c>
      <x:c r="J105" s="3" t="str">
        <x:v>https://nationalconference2026.sa-dhan.net/</x:v>
      </x:c>
      <x:c r="K105" s="3" t="str">
        <x:v>service_fit: 15 — Broad finance-operations fit; no specific software gap or outsourcing interest established. [S015]
proof_fit: 10 — Kinyoubi financial-institution MIS data/infrastructure foundation; adjacent only for payments and financial technology providers. [S002]
buyer_role: 15 — Relevant named executive on a live company page or 2026 industry leadership listing; purchasing authority not confirmed. [S015]</x:v>
      </x:c>
    </x:row>
  </x:sheetData>
  <x:mergeCells>
    <x:mergeCell ref="A2:F2"/>
    <x:mergeCell ref="A3:F3"/>
  </x:mergeCells>
  <x:pageMargins left="0.7" right="0.7" top="0.75" bottom="0.75" header="0.3" footer="0.3"/>
  <x:tableParts count="1">
    <x:tablePart xmlns:r="http://schemas.openxmlformats.org/officeDocument/2006/relationships" r:id="R4f04553923b24c6d"/>
  </x:tableParts>
</x:worksheet>
</file>

<file path=xl/worksheets/sheet4.xml><?xml version="1.0" encoding="utf-8"?>
<x:worksheet xmlns:x="http://schemas.openxmlformats.org/spreadsheetml/2006/main">
  <x:sheetPr>
    <x:tabColor rgb="FF672D32"/>
  </x:sheetPr>
  <x:sheetViews>
    <x:sheetView showGridLines="0" workbookViewId="0"/>
  </x:sheetViews>
  <x:sheetFormatPr defaultRowHeight="15"/>
  <x:cols>
    <x:col min="1" max="1" width="16.670000076293945" hidden="0" customWidth="1"/>
    <x:col min="2" max="2" width="100" hidden="0" customWidth="1"/>
  </x:cols>
  <x:sheetData>
    <x:row r="1" ht="24" customHeight="1">
      <x:c r="A1" s="3"/>
      <x:c r="B1" s="3"/>
    </x:row>
    <x:row r="2" ht="34" customHeight="1">
      <x:c r="A2" s="4" t="str">
        <x:v>Five personalised emails</x:v>
      </x:c>
      <x:c r="B2" s="3"/>
    </x:row>
    <x:row r="3" ht="30" customHeight="1">
      <x:c r="A3" s="5" t="str">
        <x:v>Drafts only • Published addresses are not delivery-tested • Review prior contact history and exclusions before sending.</x:v>
      </x:c>
      <x:c r="B3" s="3"/>
    </x:row>
    <x:row r="4" ht="24" customHeight="1">
      <x:c r="A4" s="3"/>
      <x:c r="B4" s="3"/>
    </x:row>
    <x:row r="5" ht="28" customHeight="1">
      <x:c r="A5" s="14" t="str">
        <x:v>Draft 1</x:v>
      </x:c>
      <x:c r="B5" s="14" t="str">
        <x:v>GU Financial Services (P) Ltd. | L001</x:v>
      </x:c>
    </x:row>
    <x:row r="6" ht="45" customHeight="1">
      <x:c r="A6" s="11" t="str">
        <x:v>Recipient</x:v>
      </x:c>
      <x:c r="B6" s="3" t="str">
        <x:v>Govind Chandra Dash — Chairman &amp; Managing Director
chairman@gufinance.com</x:v>
      </x:c>
    </x:row>
    <x:row r="7" ht="24" customHeight="1">
      <x:c r="A7" s="11" t="str">
        <x:v>Subject</x:v>
      </x:c>
      <x:c r="B7" s="3" t="str">
        <x:v>Reporting across GU’s loan products</x:v>
      </x:c>
    </x:row>
    <x:row r="8" ht="205" customHeight="1">
      <x:c r="A8" s="11" t="str">
        <x:v>Email body</x:v>
      </x:c>
      <x:c r="B8" s="15" t="str">
        <x:v>Hello Mr Dash,
GU’s WASH and microenterprise loan products caught my attention. If reporting across those products still involves separate branch files, Kinyoubi could help bring the data into one reporting workflow, with exceptions visible to the operations team.
We’ve delivered the data and infrastructure foundation for a financial-institution MIS. For GU, I’d suggest starting by mapping one recurring report and its source systems, then defining a small integration project around it.
Would a short outline of that approach be useful?
Ankit
Kinyoubi</x:v>
      </x:c>
    </x:row>
    <x:row r="9" ht="98" customHeight="1">
      <x:c r="A9" s="11" t="str">
        <x:v>Evidence</x:v>
      </x:c>
      <x:c r="B9" s="3" t="str">
        <x:v>https://www.gufinance.com/
https://kinyoubiatelier.com/work/bfsi-mis/
https://www.janabank.com/images/PDF/BC-Partner-Details-Asset-Business.pdf
https://gufinance.com/index.php/page?name=board-of-directors</x:v>
      </x:c>
    </x:row>
    <x:row r="10" ht="35" customHeight="1">
      <x:c r="A10" s="11" t="str">
        <x:v>Review notes</x:v>
      </x:c>
      <x:c r="B10" s="3" t="str">
        <x:v>Need is hypothetical. No prior-contact or exclusion check is established. No sending authorised.</x:v>
      </x:c>
    </x:row>
    <x:row r="11" ht="24" customHeight="1">
      <x:c r="A11" s="11" t="str">
        <x:v>Word count</x:v>
      </x:c>
      <x:c r="B11" s="3" t="n">
        <x:v>83</x:v>
      </x:c>
    </x:row>
    <x:row r="12" ht="24" customHeight="1">
      <x:c r="A12" s="3"/>
      <x:c r="B12" s="3"/>
    </x:row>
    <x:row r="13" ht="28" customHeight="1">
      <x:c r="A13" s="14" t="str">
        <x:v>Draft 2</x:v>
      </x:c>
      <x:c r="B13" s="14" t="str">
        <x:v>Mitrata Inclusive Financial Services Ltd. | L002</x:v>
      </x:c>
    </x:row>
    <x:row r="14" ht="45" customHeight="1">
      <x:c r="A14" s="11" t="str">
        <x:v>Recipient</x:v>
      </x:c>
      <x:c r="B14" s="3" t="str">
        <x:v>Prabhakar Rawat — Chief Operating Officer
prabhakar@mitrata.in</x:v>
      </x:c>
    </x:row>
    <x:row r="15" ht="24" customHeight="1">
      <x:c r="A15" s="11" t="str">
        <x:v>Subject</x:v>
      </x:c>
      <x:c r="B15" s="3" t="str">
        <x:v>One reporting view across Mitrata’s products</x:v>
      </x:c>
    </x:row>
    <x:row r="16" ht="205" customHeight="1">
      <x:c r="A16" s="11" t="str">
        <x:v>Email body</x:v>
      </x:c>
      <x:c r="B16" s="15" t="str">
        <x:v>Hello Mr Rawat,
Mitrata’s product range spans JLG, WASH and secured MSME lending. If those teams reconcile operational numbers separately, Kinyoubi could help build a shared reporting layer around the systems already in use.
We’ve delivered the data and infrastructure foundation for a financial-institution MIS. A useful starting point could be one cross-product report: agreeing on definitions, mapping the inputs, and making exceptions easy for the team to review before numbers are consolidated.
Would you find a short technical outline useful?
Ankit
Kinyoubi</x:v>
      </x:c>
    </x:row>
    <x:row r="17" ht="98" customHeight="1">
      <x:c r="A17" s="11" t="str">
        <x:v>Evidence</x:v>
      </x:c>
      <x:c r="B17" s="3" t="str">
        <x:v>https://mitrata.in/products-and-services/
https://kinyoubiatelier.com/work/bfsi-mis/
https://www.janabank.com/images/PDF/BC-Partner-Details-Asset-Business.pdf
https://mitrata.in/aboutus/management-team/</x:v>
      </x:c>
    </x:row>
    <x:row r="18" ht="35" customHeight="1">
      <x:c r="A18" s="11" t="str">
        <x:v>Review notes</x:v>
      </x:c>
      <x:c r="B18" s="3" t="str">
        <x:v>Need is hypothetical. No prior-contact or exclusion check is established. No sending authorised.</x:v>
      </x:c>
    </x:row>
    <x:row r="19" ht="24" customHeight="1">
      <x:c r="A19" s="11" t="str">
        <x:v>Word count</x:v>
      </x:c>
      <x:c r="B19" s="3" t="n">
        <x:v>83</x:v>
      </x:c>
    </x:row>
    <x:row r="20" ht="24" customHeight="1">
      <x:c r="A20" s="3"/>
      <x:c r="B20" s="3"/>
    </x:row>
    <x:row r="21" ht="28" customHeight="1">
      <x:c r="A21" s="14" t="str">
        <x:v>Draft 3</x:v>
      </x:c>
      <x:c r="B21" s="14" t="str">
        <x:v>Samvedna Microfinance Private Limited | L003</x:v>
      </x:c>
    </x:row>
    <x:row r="22" ht="45" customHeight="1">
      <x:c r="A22" s="11" t="str">
        <x:v>Recipient</x:v>
      </x:c>
      <x:c r="B22" s="3" t="str">
        <x:v>Trilok Nath Shukla — Managing Director &amp; CEO
trilok@samvednamfi.com</x:v>
      </x:c>
    </x:row>
    <x:row r="23" ht="24" customHeight="1">
      <x:c r="A23" s="11" t="str">
        <x:v>Subject</x:v>
      </x:c>
      <x:c r="B23" s="3" t="str">
        <x:v>Branch reporting as Samvedna expands</x:v>
      </x:c>
    </x:row>
    <x:row r="24" ht="205" customHeight="1">
      <x:c r="A24" s="11" t="str">
        <x:v>Email body</x:v>
      </x:c>
      <x:c r="B24" s="15" t="str">
        <x:v>Hello Mr Shukla,
Samvedna’s website describes its work in Uttar Pradesh and Bihar and plans to extend its reach. If adding locations is making branch reporting harder to consolidate, Kinyoubi could help design a single workflow for submissions, validation and exception review.
We’ve delivered the data and infrastructure foundation for a financial-institution MIS. For Samvedna, I’d start with one report used by the central operations team and map how it moves from each branch to that team.
Would a short outline be worth sharing?
Ankit
Kinyoubi</x:v>
      </x:c>
    </x:row>
    <x:row r="25" ht="98" customHeight="1">
      <x:c r="A25" s="11" t="str">
        <x:v>Evidence</x:v>
      </x:c>
      <x:c r="B25" s="3" t="str">
        <x:v>https://samvednamfi.com/
https://kinyoubiatelier.com/work/bfsi-mis/
https://www.janabank.com/images/PDF/BC-Partner-Details-Asset-Business.pdf</x:v>
      </x:c>
    </x:row>
    <x:row r="26" ht="35" customHeight="1">
      <x:c r="A26" s="11" t="str">
        <x:v>Review notes</x:v>
      </x:c>
      <x:c r="B26" s="3" t="str">
        <x:v>Need is hypothetical. No prior-contact or exclusion check is established. No sending authorised.</x:v>
      </x:c>
    </x:row>
    <x:row r="27" ht="24" customHeight="1">
      <x:c r="A27" s="11" t="str">
        <x:v>Word count</x:v>
      </x:c>
      <x:c r="B27" s="3" t="n">
        <x:v>86</x:v>
      </x:c>
    </x:row>
    <x:row r="28" ht="24" customHeight="1">
      <x:c r="A28" s="3"/>
      <x:c r="B28" s="3"/>
    </x:row>
    <x:row r="29" ht="28" customHeight="1">
      <x:c r="A29" s="14" t="str">
        <x:v>Draft 4</x:v>
      </x:c>
      <x:c r="B29" s="14" t="str">
        <x:v>IDF Financial Services Private Ltd. | L004</x:v>
      </x:c>
    </x:row>
    <x:row r="30" ht="45" customHeight="1">
      <x:c r="A30" s="11" t="str">
        <x:v>Recipient</x:v>
      </x:c>
      <x:c r="B30" s="3" t="str">
        <x:v>N. M. Patil — Managing Director
patil.naganagouda@gmail.com</x:v>
      </x:c>
    </x:row>
    <x:row r="31" ht="24" customHeight="1">
      <x:c r="A31" s="11" t="str">
        <x:v>Subject</x:v>
      </x:c>
      <x:c r="B31" s="3" t="str">
        <x:v>A document-review workflow for IDF</x:v>
      </x:c>
    </x:row>
    <x:row r="32" ht="205" customHeight="1">
      <x:c r="A32" s="11" t="str">
        <x:v>Email body</x:v>
      </x:c>
      <x:c r="B32" s="15" t="str">
        <x:v>Hello Mr Patil,
IDF’s mSHG lending model caught my attention. If your team spends time checking group-level documents before information reaches the MIS, Kinyoubi could help scope an AI-assisted intake workflow that extracts fields and flags missing information for staff review.
We’ve delivered the data and infrastructure foundation for a financial-institution MIS. The proposed document workflow would be a separately scoped project, with your team retaining responsibility for checking the extracted information.
Would a short outline of that workflow be useful?
Ankit
Kinyoubi</x:v>
      </x:c>
    </x:row>
    <x:row r="33" ht="98" customHeight="1">
      <x:c r="A33" s="11" t="str">
        <x:v>Evidence</x:v>
      </x:c>
      <x:c r="B33" s="3" t="str">
        <x:v>https://www.idf-finance.in/
https://kinyoubiatelier.com/work/bfsi-mis/
https://www.idf-finance.in/bod.php</x:v>
      </x:c>
    </x:row>
    <x:row r="34" ht="35" customHeight="1">
      <x:c r="A34" s="11" t="str">
        <x:v>Review notes</x:v>
      </x:c>
      <x:c r="B34" s="3" t="str">
        <x:v>Need is hypothetical. No prior-contact or exclusion check is established. No sending authorised.</x:v>
      </x:c>
    </x:row>
    <x:row r="35" ht="24" customHeight="1">
      <x:c r="A35" s="11" t="str">
        <x:v>Word count</x:v>
      </x:c>
      <x:c r="B35" s="3" t="n">
        <x:v>83</x:v>
      </x:c>
    </x:row>
    <x:row r="36" ht="24" customHeight="1">
      <x:c r="A36" s="3"/>
      <x:c r="B36" s="3"/>
    </x:row>
    <x:row r="37" ht="28" customHeight="1">
      <x:c r="A37" s="14" t="str">
        <x:v>Draft 5</x:v>
      </x:c>
      <x:c r="B37" s="14" t="str">
        <x:v>Srifin Credit Private Limited | L005</x:v>
      </x:c>
    </x:row>
    <x:row r="38" ht="45" customHeight="1">
      <x:c r="A38" s="11" t="str">
        <x:v>Recipient</x:v>
      </x:c>
      <x:c r="B38" s="3" t="str">
        <x:v>Vivek Dave — Managing Director &amp; CEO
vivek@srifincredit.com</x:v>
      </x:c>
    </x:row>
    <x:row r="39" ht="24" customHeight="1">
      <x:c r="A39" s="11" t="str">
        <x:v>Subject</x:v>
      </x:c>
      <x:c r="B39" s="3" t="str">
        <x:v>Document intake for Srifin’s partner workflows</x:v>
      </x:c>
    </x:row>
    <x:row r="40" ht="205" customHeight="1">
      <x:c r="A40" s="11" t="str">
        <x:v>Email body</x:v>
      </x:c>
      <x:c r="B40" s="15" t="str">
        <x:v>Hello Mr Dave,
Jana Small Finance Bank lists Srifin as a business correspondent partner. If preparing partner submissions involves repeatedly checking documents and re-entering fields, Kinyoubi could help scope an AI-assisted intake workflow with an exception queue for your operations team.
We’ve delivered the data and infrastructure foundation for a financial-institution MIS. For Srifin, I’d suggest assessing one document type first, with staff checking extracted fields before anything moves into a partner submission.
Would a short technical outline be useful to review?
Ankit
Kinyoubi</x:v>
      </x:c>
    </x:row>
    <x:row r="41" ht="98" customHeight="1">
      <x:c r="A41" s="11" t="str">
        <x:v>Evidence</x:v>
      </x:c>
      <x:c r="B41" s="3" t="str">
        <x:v>https://www.janabank.com/images/PDF/BC-Partner-Details-Asset-Business.pdf
https://kinyoubiatelier.com/work/bfsi-mis/
https://www.srifincredit.com/management-team.html</x:v>
      </x:c>
    </x:row>
    <x:row r="42" ht="35" customHeight="1">
      <x:c r="A42" s="11" t="str">
        <x:v>Review notes</x:v>
      </x:c>
      <x:c r="B42" s="3" t="str">
        <x:v>Need is hypothetical. No prior-contact or exclusion check is established. No sending authorised.</x:v>
      </x:c>
    </x:row>
    <x:row r="43" ht="24" customHeight="1">
      <x:c r="A43" s="11" t="str">
        <x:v>Word count</x:v>
      </x:c>
      <x:c r="B43" s="3" t="n">
        <x:v>84</x:v>
      </x:c>
    </x:row>
    <x:row r="44" ht="24" customHeight="1">
      <x:c r="A44" s="3"/>
      <x:c r="B44" s="3"/>
    </x:row>
    <x:row r="45" ht="24" customHeight="1">
      <x:c r="A45" s="3"/>
      <x:c r="B45" s="3"/>
    </x:row>
    <x:row r="46" ht="24" customHeight="1">
      <x:c r="A46" s="3"/>
      <x:c r="B46" s="3"/>
    </x:row>
    <x:row r="47" ht="24" customHeight="1">
      <x:c r="A47" s="3"/>
      <x:c r="B47" s="3"/>
    </x:row>
  </x:sheetData>
  <x:mergeCells>
    <x:mergeCell ref="A2:B2"/>
    <x:mergeCell ref="A3:B3"/>
  </x:mergeCells>
  <x:pageMargins left="0.7" right="0.7" top="0.75" bottom="0.75" header="0.3" footer="0.3"/>
</x:worksheet>
</file>

<file path=xl/worksheets/sheet5.xml><?xml version="1.0" encoding="utf-8"?>
<x:worksheet xmlns:x="http://schemas.openxmlformats.org/spreadsheetml/2006/main">
  <x:sheetPr>
    <x:tabColor rgb="FF672D32"/>
  </x:sheetPr>
  <x:sheetViews>
    <x:sheetView showGridLines="0" workbookViewId="0">
      <x:pane xSplit="3" ySplit="5" topLeftCell="D6" activePane="bottomRight" state="frozen"/>
    </x:sheetView>
  </x:sheetViews>
  <x:sheetFormatPr defaultRowHeight="15"/>
  <x:cols>
    <x:col min="1" max="1" width="8.329999923706055" hidden="0" customWidth="1"/>
    <x:col min="2" max="2" width="31.110000610351562" hidden="0" customWidth="1"/>
    <x:col min="3" max="3" width="50" hidden="0" customWidth="1"/>
    <x:col min="4" max="4" width="12.779999732971191" hidden="0" customWidth="1"/>
    <x:col min="5" max="5" width="12.779999732971191" hidden="0" customWidth="1"/>
    <x:col min="6" max="6" width="15" hidden="0" customWidth="1"/>
    <x:col min="7" max="7" width="47.779998779296875" hidden="0" customWidth="1"/>
  </x:cols>
  <x:sheetData>
    <x:row r="1" ht="24" customHeight="1">
      <x:c r="A1" s="3"/>
      <x:c r="B1" s="3"/>
      <x:c r="C1" s="3"/>
      <x:c r="D1" s="3"/>
      <x:c r="E1" s="3"/>
      <x:c r="F1" s="3"/>
      <x:c r="G1" s="3"/>
    </x:row>
    <x:row r="2" ht="34" customHeight="1">
      <x:c r="A2" s="4" t="str">
        <x:v>Evidence register</x:v>
      </x:c>
      <x:c r="B2" s="3"/>
      <x:c r="C2" s="3"/>
      <x:c r="D2" s="3"/>
      <x:c r="E2" s="3"/>
      <x:c r="F2" s="3"/>
      <x:c r="G2" s="3"/>
    </x:row>
    <x:row r="3" ht="30" customHeight="1">
      <x:c r="A3" s="5" t="str">
        <x:v>Primary company, bank and industry sources • Checked date is access date, not publication date.</x:v>
      </x:c>
      <x:c r="B3" s="3"/>
      <x:c r="C3" s="3"/>
      <x:c r="D3" s="3"/>
      <x:c r="E3" s="3"/>
      <x:c r="F3" s="3"/>
      <x:c r="G3" s="3"/>
    </x:row>
    <x:row r="4" ht="24" customHeight="1">
      <x:c r="A4" s="3"/>
      <x:c r="B4" s="3"/>
      <x:c r="C4" s="3"/>
      <x:c r="D4" s="3"/>
      <x:c r="E4" s="3"/>
      <x:c r="F4" s="3"/>
      <x:c r="G4" s="3"/>
    </x:row>
    <x:row r="5" ht="34" customHeight="1">
      <x:c r="A5" s="7" t="str">
        <x:v>Source ID</x:v>
      </x:c>
      <x:c r="B5" s="7" t="str">
        <x:v>Title</x:v>
      </x:c>
      <x:c r="C5" s="7" t="str">
        <x:v>URL</x:v>
      </x:c>
      <x:c r="D5" s="7" t="str">
        <x:v>Checked on</x:v>
      </x:c>
      <x:c r="E5" s="7" t="str">
        <x:v>Published on</x:v>
      </x:c>
      <x:c r="F5" s="7" t="str">
        <x:v>Supports</x:v>
      </x:c>
      <x:c r="G5" s="7" t="str">
        <x:v>Evidence summary</x:v>
      </x:c>
    </x:row>
    <x:row r="6" ht="95" customHeight="1">
      <x:c r="A6" s="8" t="str">
        <x:v>S001</x:v>
      </x:c>
      <x:c r="B6" s="8" t="str">
        <x:v>Sa-Dhan membership list, March 2026</x:v>
      </x:c>
      <x:c r="C6" s="8" t="str">
        <x:v>https://www.sa-dhan.net/wp-content/uploads/2026/03/Memberlist_website26.xlsx</x:v>
      </x:c>
      <x:c r="D6" s="8" t="str">
        <x:v>2026-10-03</x:v>
      </x:c>
      <x:c r="E6" s="8" t="str">
        <x:v>Not stated</x:v>
      </x:c>
      <x:c r="F6" s="8" t="str">
        <x:v>company</x:v>
      </x:c>
      <x:c r="G6" s="8" t="str">
        <x:v>Company names, legal forms and states in the 2026 membership register; membership is not buying intent.</x:v>
      </x:c>
    </x:row>
    <x:row r="7" ht="95" customHeight="1">
      <x:c r="A7" s="3" t="str">
        <x:v>S002</x:v>
      </x:c>
      <x:c r="B7" s="3" t="str">
        <x:v>Kinyoubi financial-institution MIS foundation</x:v>
      </x:c>
      <x:c r="C7" s="3" t="str">
        <x:v>https://kinyoubiatelier.com/work/bfsi-mis/</x:v>
      </x:c>
      <x:c r="D7" s="3" t="str">
        <x:v>2026-10-03</x:v>
      </x:c>
      <x:c r="E7" s="3" t="str">
        <x:v>Not stated</x:v>
      </x:c>
      <x:c r="F7" s="3" t="str">
        <x:v>proof</x:v>
      </x:c>
      <x:c r="G7" s="3" t="str">
        <x:v>First-party case study: data and infrastructure foundation delivered for an anonymised financial institution. No production rollout or quantified outcome is assumed.</x:v>
      </x:c>
    </x:row>
    <x:row r="8" ht="95" customHeight="1">
      <x:c r="A8" s="8" t="str">
        <x:v>S004</x:v>
      </x:c>
      <x:c r="B8" s="8" t="str">
        <x:v>Jana Small Finance Bank: BC partner contacts</x:v>
      </x:c>
      <x:c r="C8" s="8" t="str">
        <x:v>https://www.janabank.com/images/PDF/BC-Partner-Details-Asset-Business.pdf</x:v>
      </x:c>
      <x:c r="D8" s="8" t="str">
        <x:v>2026-10-03</x:v>
      </x:c>
      <x:c r="E8" s="8" t="str">
        <x:v>Not stated</x:v>
      </x:c>
      <x:c r="F8" s="8" t="str">
        <x:v>company, contact</x:v>
      </x:c>
      <x:c r="G8" s="8" t="str">
        <x:v>Jana Small Finance Bank lists Srifin Credit as a business correspondent partner.</x:v>
      </x:c>
    </x:row>
    <x:row r="9" ht="95" customHeight="1">
      <x:c r="A9" s="3" t="str">
        <x:v>S007</x:v>
      </x:c>
      <x:c r="B9" s="3" t="str">
        <x:v>Aasra Fincorp Private limited leadership evidence</x:v>
      </x:c>
      <x:c r="C9" s="3" t="str">
        <x:v>https://www.aasrafincorp.com/board-members</x:v>
      </x:c>
      <x:c r="D9" s="3" t="str">
        <x:v>2026-10-03</x:v>
      </x:c>
      <x:c r="E9" s="3" t="str">
        <x:v>Not stated</x:v>
      </x:c>
      <x:c r="F9" s="3" t="str">
        <x:v>role</x:v>
      </x:c>
      <x:c r="G9" s="3" t="str">
        <x:v>Current live page supports Ashok Kumar Singh — Managing Director. Readiness is recorded separately.</x:v>
      </x:c>
    </x:row>
    <x:row r="10" ht="95" customHeight="1">
      <x:c r="A10" s="8" t="str">
        <x:v>S008</x:v>
      </x:c>
      <x:c r="B10" s="8" t="str">
        <x:v>Aasra Fincorp Private limited contact page</x:v>
      </x:c>
      <x:c r="C10" s="8" t="str">
        <x:v>https://www.aasrafincorp.com/contact-us</x:v>
      </x:c>
      <x:c r="D10" s="8" t="str">
        <x:v>2026-10-03</x:v>
      </x:c>
      <x:c r="E10" s="8" t="str">
        <x:v>Not stated</x:v>
      </x:c>
      <x:c r="F10" s="8" t="str">
        <x:v>contact, company</x:v>
      </x:c>
      <x:c r="G10" s="8" t="str">
        <x:v>Official contact page is a generic routing option. No form was submitted.</x:v>
      </x:c>
    </x:row>
    <x:row r="11" ht="95" customHeight="1">
      <x:c r="A11" s="3" t="str">
        <x:v>S009</x:v>
      </x:c>
      <x:c r="B11" s="3" t="str">
        <x:v>Adi Chitragupta Finance Limited leadership evidence</x:v>
      </x:c>
      <x:c r="C11" s="3" t="str">
        <x:v>https://acfl.co.in/about/team/</x:v>
      </x:c>
      <x:c r="D11" s="3" t="str">
        <x:v>2026-10-03</x:v>
      </x:c>
      <x:c r="E11" s="3" t="str">
        <x:v>Not stated</x:v>
      </x:c>
      <x:c r="F11" s="3" t="str">
        <x:v>role</x:v>
      </x:c>
      <x:c r="G11" s="3" t="str">
        <x:v>Current live page supports Gyan Mohan — Director &amp; CEO. Readiness is recorded separately.</x:v>
      </x:c>
    </x:row>
    <x:row r="12" ht="95" customHeight="1">
      <x:c r="A12" s="8" t="str">
        <x:v>S010</x:v>
      </x:c>
      <x:c r="B12" s="8" t="str">
        <x:v>Adi Chitragupta Finance Limited public business contact</x:v>
      </x:c>
      <x:c r="C12" s="8" t="str">
        <x:v>https://acfl.co.in/contact-us/</x:v>
      </x:c>
      <x:c r="D12" s="8" t="str">
        <x:v>2026-10-03</x:v>
      </x:c>
      <x:c r="E12" s="8" t="str">
        <x:v>Not stated</x:v>
      </x:c>
      <x:c r="F12" s="8" t="str">
        <x:v>contact, company</x:v>
      </x:c>
      <x:c r="G12" s="8" t="str">
        <x:v>Company page publishes info@acfl.co.in as a business routing inbox; it is not the named executive’s personal address.</x:v>
      </x:c>
    </x:row>
    <x:row r="13" ht="95" customHeight="1">
      <x:c r="A13" s="3" t="str">
        <x:v>S011</x:v>
      </x:c>
      <x:c r="B13" s="3" t="str">
        <x:v>AGORA Microfinance India Limited leadership evidence</x:v>
      </x:c>
      <x:c r="C13" s="3" t="str">
        <x:v>https://www.amil.co.in/senior-management</x:v>
      </x:c>
      <x:c r="D13" s="3" t="str">
        <x:v>2026-10-03</x:v>
      </x:c>
      <x:c r="E13" s="3" t="str">
        <x:v>Not stated</x:v>
      </x:c>
      <x:c r="F13" s="3" t="str">
        <x:v>role</x:v>
      </x:c>
      <x:c r="G13" s="3" t="str">
        <x:v>Current live page supports Manoj Naval — CEO. Readiness is recorded separately.</x:v>
      </x:c>
    </x:row>
    <x:row r="14" ht="95" customHeight="1">
      <x:c r="A14" s="8" t="str">
        <x:v>S012</x:v>
      </x:c>
      <x:c r="B14" s="8" t="str">
        <x:v>AGORA Microfinance India Limited public business contact</x:v>
      </x:c>
      <x:c r="C14" s="8" t="str">
        <x:v>https://www.amil.co.in/contact</x:v>
      </x:c>
      <x:c r="D14" s="8" t="str">
        <x:v>2026-10-03</x:v>
      </x:c>
      <x:c r="E14" s="8" t="str">
        <x:v>Not stated</x:v>
      </x:c>
      <x:c r="F14" s="8" t="str">
        <x:v>contact, company</x:v>
      </x:c>
      <x:c r="G14" s="8" t="str">
        <x:v>Company page publishes info@amil.co.in as a business routing inbox; it is not the named executive’s personal address.</x:v>
      </x:c>
    </x:row>
    <x:row r="15" ht="95" customHeight="1">
      <x:c r="A15" s="3" t="str">
        <x:v>S014</x:v>
      </x:c>
      <x:c r="B15" s="3" t="str">
        <x:v>Anik Financial Services Pvt Ltd leadership evidence</x:v>
      </x:c>
      <x:c r="C15" s="3" t="str">
        <x:v>https://www.anikfin.com/</x:v>
      </x:c>
      <x:c r="D15" s="3" t="str">
        <x:v>2026-10-03</x:v>
      </x:c>
      <x:c r="E15" s="3" t="str">
        <x:v>Not stated</x:v>
      </x:c>
      <x:c r="F15" s="3" t="str">
        <x:v>role</x:v>
      </x:c>
      <x:c r="G15" s="3" t="str">
        <x:v>Current live page supports Vishwanath Todkar — Managing Director. Readiness is recorded separately.</x:v>
      </x:c>
    </x:row>
    <x:row r="16" ht="95" customHeight="1">
      <x:c r="A16" s="8" t="str">
        <x:v>S015</x:v>
      </x:c>
      <x:c r="B16" s="8" t="str">
        <x:v>Annapurna Finance Private Limited leadership evidence</x:v>
      </x:c>
      <x:c r="C16" s="8" t="str">
        <x:v>https://nationalconference2026.sa-dhan.net/</x:v>
      </x:c>
      <x:c r="D16" s="8" t="str">
        <x:v>2026-10-03</x:v>
      </x:c>
      <x:c r="E16" s="8" t="str">
        <x:v>Not stated</x:v>
      </x:c>
      <x:c r="F16" s="8" t="str">
        <x:v>company, role</x:v>
      </x:c>
      <x:c r="G16" s="8" t="str">
        <x:v>2026 speaker listings identify current executive roles at Indian financial inclusion organisations. Participation does not establish buying intent.</x:v>
      </x:c>
    </x:row>
    <x:row r="17" ht="95" customHeight="1">
      <x:c r="A17" s="3" t="str">
        <x:v>S016</x:v>
      </x:c>
      <x:c r="B17" s="3" t="str">
        <x:v>Arth Micro Finance Pvt. Ltd. leadership evidence</x:v>
      </x:c>
      <x:c r="C17" s="3" t="str">
        <x:v>https://arthfinance.com/team</x:v>
      </x:c>
      <x:c r="D17" s="3" t="str">
        <x:v>2026-10-03</x:v>
      </x:c>
      <x:c r="E17" s="3" t="str">
        <x:v>Not stated</x:v>
      </x:c>
      <x:c r="F17" s="3" t="str">
        <x:v>role</x:v>
      </x:c>
      <x:c r="G17" s="3" t="str">
        <x:v>Current live page supports Pramod Kumar Paliwal — Chairman &amp; Managing Director. Readiness is recorded separately.</x:v>
      </x:c>
    </x:row>
    <x:row r="18" ht="95" customHeight="1">
      <x:c r="A18" s="8" t="str">
        <x:v>S018</x:v>
      </x:c>
      <x:c r="B18" s="8" t="str">
        <x:v>Avanti Finance Private Limited leadership evidence</x:v>
      </x:c>
      <x:c r="C18" s="8" t="str">
        <x:v>https://www.avantifinance.in/team/</x:v>
      </x:c>
      <x:c r="D18" s="8" t="str">
        <x:v>2026-10-03</x:v>
      </x:c>
      <x:c r="E18" s="8" t="str">
        <x:v>Not stated</x:v>
      </x:c>
      <x:c r="F18" s="8" t="str">
        <x:v>role</x:v>
      </x:c>
      <x:c r="G18" s="8" t="str">
        <x:v>Current live page supports Rahul Gupta — Executive Director &amp; CEO. Readiness is recorded separately.</x:v>
      </x:c>
    </x:row>
    <x:row r="19" ht="95" customHeight="1">
      <x:c r="A19" s="3" t="str">
        <x:v>S019</x:v>
      </x:c>
      <x:c r="B19" s="3" t="str">
        <x:v>Avanti Finance Private Limited public business contact</x:v>
      </x:c>
      <x:c r="C19" s="3" t="str">
        <x:v>https://www.avantifinance.in/contact/</x:v>
      </x:c>
      <x:c r="D19" s="3" t="str">
        <x:v>2026-10-03</x:v>
      </x:c>
      <x:c r="E19" s="3" t="str">
        <x:v>Not stated</x:v>
      </x:c>
      <x:c r="F19" s="3" t="str">
        <x:v>contact, company</x:v>
      </x:c>
      <x:c r="G19" s="3" t="str">
        <x:v>Company page publishes info@avantifinance.incustomerservice as a business routing inbox; it is not the named executive’s personal address.</x:v>
      </x:c>
    </x:row>
    <x:row r="20" ht="95" customHeight="1">
      <x:c r="A20" s="8" t="str">
        <x:v>S020</x:v>
      </x:c>
      <x:c r="B20" s="8" t="str">
        <x:v>Aviral Finance Pvt Ltd leadership evidence</x:v>
      </x:c>
      <x:c r="C20" s="8" t="str">
        <x:v>https://aviralfinance.com/our-team/</x:v>
      </x:c>
      <x:c r="D20" s="8" t="str">
        <x:v>2026-10-03</x:v>
      </x:c>
      <x:c r="E20" s="8" t="str">
        <x:v>Not stated</x:v>
      </x:c>
      <x:c r="F20" s="8" t="str">
        <x:v>role</x:v>
      </x:c>
      <x:c r="G20" s="8" t="str">
        <x:v>Current live page supports Vishal Shah — Co-founder &amp; COO. Readiness is recorded separately.</x:v>
      </x:c>
    </x:row>
    <x:row r="21" ht="95" customHeight="1">
      <x:c r="A21" s="3" t="str">
        <x:v>S021</x:v>
      </x:c>
      <x:c r="B21" s="3" t="str">
        <x:v>Aviral Finance Pvt Ltd public business contact</x:v>
      </x:c>
      <x:c r="C21" s="3" t="str">
        <x:v>https://aviralfinance.com/contact-us/</x:v>
      </x:c>
      <x:c r="D21" s="3" t="str">
        <x:v>2026-10-03</x:v>
      </x:c>
      <x:c r="E21" s="3" t="str">
        <x:v>Not stated</x:v>
      </x:c>
      <x:c r="F21" s="3" t="str">
        <x:v>contact, company</x:v>
      </x:c>
      <x:c r="G21" s="3" t="str">
        <x:v>Company page publishes info@aviralfinance.com as a business routing inbox; it is not the named executive’s personal address.</x:v>
      </x:c>
    </x:row>
    <x:row r="22" ht="95" customHeight="1">
      <x:c r="A22" s="8" t="str">
        <x:v>S022</x:v>
      </x:c>
      <x:c r="B22" s="8" t="str">
        <x:v>BSS Microfinance Ltd. leadership evidence</x:v>
      </x:c>
      <x:c r="C22" s="8" t="str">
        <x:v>https://mfinindia.org/about/leadership</x:v>
      </x:c>
      <x:c r="D22" s="8" t="str">
        <x:v>2026-10-03</x:v>
      </x:c>
      <x:c r="E22" s="8" t="str">
        <x:v>Not stated</x:v>
      </x:c>
      <x:c r="F22" s="8" t="str">
        <x:v>company, role</x:v>
      </x:c>
      <x:c r="G22" s="8" t="str">
        <x:v>Current committee membership and leadership listings identify representatives and their organisations. Historical biographies elsewhere on the same page are not used for conflicting current titles.</x:v>
      </x:c>
    </x:row>
    <x:row r="23" ht="95" customHeight="1">
      <x:c r="A23" s="3" t="str">
        <x:v>S028</x:v>
      </x:c>
      <x:c r="B23" s="3" t="str">
        <x:v>Digamber Capfin Ltd leadership evidence</x:v>
      </x:c>
      <x:c r="C23" s="3" t="str">
        <x:v>https://www.digamberfinance.com/</x:v>
      </x:c>
      <x:c r="D23" s="3" t="str">
        <x:v>2026-10-03</x:v>
      </x:c>
      <x:c r="E23" s="3" t="str">
        <x:v>Not stated</x:v>
      </x:c>
      <x:c r="F23" s="3" t="str">
        <x:v>role</x:v>
      </x:c>
      <x:c r="G23" s="3" t="str">
        <x:v>Current live page supports Rajiv Jain — Chairman &amp; Managing Director. Readiness is recorded separately.</x:v>
      </x:c>
    </x:row>
    <x:row r="24" ht="95" customHeight="1">
      <x:c r="A24" s="8" t="str">
        <x:v>S029</x:v>
      </x:c>
      <x:c r="B24" s="8" t="str">
        <x:v>Digamber Capfin Ltd public business contact</x:v>
      </x:c>
      <x:c r="C24" s="8" t="str">
        <x:v>https://www.digamberfinance.com/contact.php</x:v>
      </x:c>
      <x:c r="D24" s="8" t="str">
        <x:v>2026-10-03</x:v>
      </x:c>
      <x:c r="E24" s="8" t="str">
        <x:v>Not stated</x:v>
      </x:c>
      <x:c r="F24" s="8" t="str">
        <x:v>contact, company</x:v>
      </x:c>
      <x:c r="G24" s="8" t="str">
        <x:v>Company page publishes info@digamberfinance.com as a business routing inbox; it is not the named executive’s personal address.</x:v>
      </x:c>
    </x:row>
    <x:row r="25" ht="95" customHeight="1">
      <x:c r="A25" s="3" t="str">
        <x:v>S030</x:v>
      </x:c>
      <x:c r="B25" s="3" t="str">
        <x:v>Dvara Kshetriya Gramin Financial Services Private Limited public business contact</x:v>
      </x:c>
      <x:c r="C25" s="3" t="str">
        <x:v>https://www.dvarakgfs.com/contact_us</x:v>
      </x:c>
      <x:c r="D25" s="3" t="str">
        <x:v>2026-10-03</x:v>
      </x:c>
      <x:c r="E25" s="3" t="str">
        <x:v>Not stated</x:v>
      </x:c>
      <x:c r="F25" s="3" t="str">
        <x:v>contact, company</x:v>
      </x:c>
      <x:c r="G25" s="3" t="str">
        <x:v>Company page publishes info@dvarakgfs.com as a business routing inbox; it is not the named executive’s personal address.</x:v>
      </x:c>
    </x:row>
    <x:row r="26" ht="95" customHeight="1">
      <x:c r="A26" s="8" t="str">
        <x:v>S031</x:v>
      </x:c>
      <x:c r="B26" s="8" t="str">
        <x:v>Finsigma Inclusive Services Private Limited leadership evidence</x:v>
      </x:c>
      <x:c r="C26" s="8" t="str">
        <x:v>https://www.finsigma.com/directors.html</x:v>
      </x:c>
      <x:c r="D26" s="8" t="str">
        <x:v>2026-10-03</x:v>
      </x:c>
      <x:c r="E26" s="8" t="str">
        <x:v>Not stated</x:v>
      </x:c>
      <x:c r="F26" s="8" t="str">
        <x:v>role</x:v>
      </x:c>
      <x:c r="G26" s="8" t="str">
        <x:v>Current live page supports Anooj VC — Co-founder &amp; COO. Readiness is recorded separately.</x:v>
      </x:c>
    </x:row>
    <x:row r="27" ht="95" customHeight="1">
      <x:c r="A27" s="3" t="str">
        <x:v>S032</x:v>
      </x:c>
      <x:c r="B27" s="3" t="str">
        <x:v>Finsigma Inclusive Services Private Limited public business contact</x:v>
      </x:c>
      <x:c r="C27" s="3" t="str">
        <x:v>https://www.finsigma.com/contact_us.html</x:v>
      </x:c>
      <x:c r="D27" s="3" t="str">
        <x:v>2026-10-03</x:v>
      </x:c>
      <x:c r="E27" s="3" t="str">
        <x:v>Not stated</x:v>
      </x:c>
      <x:c r="F27" s="3" t="str">
        <x:v>contact, company</x:v>
      </x:c>
      <x:c r="G27" s="3" t="str">
        <x:v>Company page publishes info@finsigma.com as a business routing inbox; it is not the named executive’s personal address.</x:v>
      </x:c>
    </x:row>
    <x:row r="28" ht="95" customHeight="1">
      <x:c r="A28" s="8" t="str">
        <x:v>S033</x:v>
      </x:c>
      <x:c r="B28" s="8" t="str">
        <x:v>Friends Capital Services Limited leadership evidence</x:v>
      </x:c>
      <x:c r="C28" s="8" t="str">
        <x:v>https://friendscapital.in/board-of-directors/</x:v>
      </x:c>
      <x:c r="D28" s="8" t="str">
        <x:v>2026-10-03</x:v>
      </x:c>
      <x:c r="E28" s="8" t="str">
        <x:v>Not stated</x:v>
      </x:c>
      <x:c r="F28" s="8" t="str">
        <x:v>role</x:v>
      </x:c>
      <x:c r="G28" s="8" t="str">
        <x:v>Current live page supports Sanjeev Kumar Singh — Managing Director. Readiness is recorded separately.</x:v>
      </x:c>
    </x:row>
    <x:row r="29" ht="95" customHeight="1">
      <x:c r="A29" s="3" t="str">
        <x:v>S034</x:v>
      </x:c>
      <x:c r="B29" s="3" t="str">
        <x:v>Friends Capital Services Limited public business contact</x:v>
      </x:c>
      <x:c r="C29" s="3" t="str">
        <x:v>https://friendscapital.in/contact-us/</x:v>
      </x:c>
      <x:c r="D29" s="3" t="str">
        <x:v>2026-10-03</x:v>
      </x:c>
      <x:c r="E29" s="3" t="str">
        <x:v>Not stated</x:v>
      </x:c>
      <x:c r="F29" s="3" t="str">
        <x:v>contact, company</x:v>
      </x:c>
      <x:c r="G29" s="3" t="str">
        <x:v>Company page publishes info@friendscapital.in as a business routing inbox; it is not the named executive’s personal address.</x:v>
      </x:c>
    </x:row>
    <x:row r="30" ht="95" customHeight="1">
      <x:c r="A30" s="8" t="str">
        <x:v>S035</x:v>
      </x:c>
      <x:c r="B30" s="8" t="str">
        <x:v>Grameen Development &amp; Finance Pvt. Ltd. leadership evidence</x:v>
      </x:c>
      <x:c r="C30" s="8" t="str">
        <x:v>https://www.gdfpl.com/</x:v>
      </x:c>
      <x:c r="D30" s="8" t="str">
        <x:v>2026-10-03</x:v>
      </x:c>
      <x:c r="E30" s="8" t="str">
        <x:v>Not stated</x:v>
      </x:c>
      <x:c r="F30" s="8" t="str">
        <x:v>role</x:v>
      </x:c>
      <x:c r="G30" s="8" t="str">
        <x:v>Current live page supports Sarat Chandra Das — Managing Director. Readiness is recorded separately.</x:v>
      </x:c>
    </x:row>
    <x:row r="31" ht="95" customHeight="1">
      <x:c r="A31" s="3" t="str">
        <x:v>S036</x:v>
      </x:c>
      <x:c r="B31" s="3" t="str">
        <x:v>Grameen Development &amp; Finance Pvt. Ltd. contact page</x:v>
      </x:c>
      <x:c r="C31" s="3" t="str">
        <x:v>https://www.gdfpl.com/contact-us.html</x:v>
      </x:c>
      <x:c r="D31" s="3" t="str">
        <x:v>2026-10-03</x:v>
      </x:c>
      <x:c r="E31" s="3" t="str">
        <x:v>Not stated</x:v>
      </x:c>
      <x:c r="F31" s="3" t="str">
        <x:v>contact, company</x:v>
      </x:c>
      <x:c r="G31" s="3" t="str">
        <x:v>Official contact page is a generic routing option. No form was submitted.</x:v>
      </x:c>
    </x:row>
    <x:row r="32" ht="95" customHeight="1">
      <x:c r="A32" s="8" t="str">
        <x:v>S037</x:v>
      </x:c>
      <x:c r="B32" s="8" t="str">
        <x:v>Grameen Shakti Microfinance Services Pvt. Ltd leadership evidence</x:v>
      </x:c>
      <x:c r="C32" s="8" t="str">
        <x:v>https://grameenshakti.co.in/management-teams/</x:v>
      </x:c>
      <x:c r="D32" s="8" t="str">
        <x:v>2026-10-03</x:v>
      </x:c>
      <x:c r="E32" s="8" t="str">
        <x:v>Not stated</x:v>
      </x:c>
      <x:c r="F32" s="8" t="str">
        <x:v>role</x:v>
      </x:c>
      <x:c r="G32" s="8" t="str">
        <x:v>Current live page supports Ganesh Chandra Modak — Managing Director. Readiness is recorded separately.</x:v>
      </x:c>
    </x:row>
    <x:row r="33" ht="95" customHeight="1">
      <x:c r="A33" s="3" t="str">
        <x:v>S038</x:v>
      </x:c>
      <x:c r="B33" s="3" t="str">
        <x:v>Grameen Shakti Microfinance Services Pvt. Ltd public business contact</x:v>
      </x:c>
      <x:c r="C33" s="3" t="str">
        <x:v>https://grameenshakti.co.in/contact/</x:v>
      </x:c>
      <x:c r="D33" s="3" t="str">
        <x:v>2026-10-03</x:v>
      </x:c>
      <x:c r="E33" s="3" t="str">
        <x:v>Not stated</x:v>
      </x:c>
      <x:c r="F33" s="3" t="str">
        <x:v>contact, company</x:v>
      </x:c>
      <x:c r="G33" s="3" t="str">
        <x:v>Company page publishes info@grameenshakti.co.in as a business routing inbox; it is not the named executive’s personal address.</x:v>
      </x:c>
    </x:row>
    <x:row r="34" ht="95" customHeight="1">
      <x:c r="A34" s="8" t="str">
        <x:v>S039</x:v>
      </x:c>
      <x:c r="B34" s="8" t="str">
        <x:v>GU Financial Services (P) Ltd. leadership evidence</x:v>
      </x:c>
      <x:c r="C34" s="8" t="str">
        <x:v>https://gufinance.com/index.php/page?name=board-of-directors</x:v>
      </x:c>
      <x:c r="D34" s="8" t="str">
        <x:v>2026-10-03</x:v>
      </x:c>
      <x:c r="E34" s="8" t="str">
        <x:v>Not stated</x:v>
      </x:c>
      <x:c r="F34" s="8" t="str">
        <x:v>role</x:v>
      </x:c>
      <x:c r="G34" s="8" t="str">
        <x:v>Current live page supports Govind Chandra Dash — Chairman &amp; Managing Director. Readiness is recorded separately.</x:v>
      </x:c>
    </x:row>
    <x:row r="35" ht="95" customHeight="1">
      <x:c r="A35" s="3" t="str">
        <x:v>S041</x:v>
      </x:c>
      <x:c r="B35" s="3" t="str">
        <x:v>Hindusthan Microfinance Pvt Ltd leadership evidence</x:v>
      </x:c>
      <x:c r="C35" s="3" t="str">
        <x:v>https://www.hindusthanmfi.com/Directors</x:v>
      </x:c>
      <x:c r="D35" s="3" t="str">
        <x:v>2026-10-03</x:v>
      </x:c>
      <x:c r="E35" s="3" t="str">
        <x:v>Not stated</x:v>
      </x:c>
      <x:c r="F35" s="3" t="str">
        <x:v>role</x:v>
      </x:c>
      <x:c r="G35" s="3" t="str">
        <x:v>Current live page supports Anil Jadhav — Chairman &amp; Managing Director. Readiness is recorded separately.</x:v>
      </x:c>
    </x:row>
    <x:row r="36" ht="95" customHeight="1">
      <x:c r="A36" s="8" t="str">
        <x:v>S042</x:v>
      </x:c>
      <x:c r="B36" s="8" t="str">
        <x:v>IDF Financial Services Private Ltd. leadership evidence</x:v>
      </x:c>
      <x:c r="C36" s="8" t="str">
        <x:v>https://www.idf-finance.in/bod.php</x:v>
      </x:c>
      <x:c r="D36" s="8" t="str">
        <x:v>2026-10-03</x:v>
      </x:c>
      <x:c r="E36" s="8" t="str">
        <x:v>Not stated</x:v>
      </x:c>
      <x:c r="F36" s="8" t="str">
        <x:v>company, contact, role</x:v>
      </x:c>
      <x:c r="G36" s="8" t="str">
        <x:v>The company lists N. M. Patil as Managing Director and publishes patil.naganagouda@gmail.com as his professional contact.</x:v>
      </x:c>
    </x:row>
    <x:row r="37" ht="95" customHeight="1">
      <x:c r="A37" s="3" t="str">
        <x:v>S044</x:v>
      </x:c>
      <x:c r="B37" s="3" t="str">
        <x:v>Jagaran Microfin Private Limited leadership evidence</x:v>
      </x:c>
      <x:c r="C37" s="3" t="str">
        <x:v>https://jagaranmf.com/board-of-directors.php?catlink=board-of-directors</x:v>
      </x:c>
      <x:c r="D37" s="3" t="str">
        <x:v>2026-10-03</x:v>
      </x:c>
      <x:c r="E37" s="3" t="str">
        <x:v>Not stated</x:v>
      </x:c>
      <x:c r="F37" s="3" t="str">
        <x:v>role</x:v>
      </x:c>
      <x:c r="G37" s="3" t="str">
        <x:v>Current live page supports Sourav Ghosh — Joint Managing Director. Readiness is recorded separately.</x:v>
      </x:c>
    </x:row>
    <x:row r="38" ht="95" customHeight="1">
      <x:c r="A38" s="8" t="str">
        <x:v>S045</x:v>
      </x:c>
      <x:c r="B38" s="8" t="str">
        <x:v>Jagaran Microfin Private Limited public business contact</x:v>
      </x:c>
      <x:c r="C38" s="8" t="str">
        <x:v>https://jagaranmf.com/</x:v>
      </x:c>
      <x:c r="D38" s="8" t="str">
        <x:v>2026-10-03</x:v>
      </x:c>
      <x:c r="E38" s="8" t="str">
        <x:v>Not stated</x:v>
      </x:c>
      <x:c r="F38" s="8" t="str">
        <x:v>contact, company</x:v>
      </x:c>
      <x:c r="G38" s="8" t="str">
        <x:v>Company page publishes info@jagaranmf.com as a business routing inbox; it is not the named executive’s personal address.</x:v>
      </x:c>
    </x:row>
    <x:row r="39" ht="95" customHeight="1">
      <x:c r="A39" s="3" t="str">
        <x:v>S046</x:v>
      </x:c>
      <x:c r="B39" s="3" t="str">
        <x:v>Janashree Microfin Limited leadership evidence</x:v>
      </x:c>
      <x:c r="C39" s="3" t="str">
        <x:v>https://janashreemicrofinltd.com/about/</x:v>
      </x:c>
      <x:c r="D39" s="3" t="str">
        <x:v>2026-10-03</x:v>
      </x:c>
      <x:c r="E39" s="3" t="str">
        <x:v>Not stated</x:v>
      </x:c>
      <x:c r="F39" s="3" t="str">
        <x:v>role</x:v>
      </x:c>
      <x:c r="G39" s="3" t="str">
        <x:v>Current live page supports Malik Mohamed Hassan — Managing Director. Readiness is recorded separately.</x:v>
      </x:c>
    </x:row>
    <x:row r="40" ht="95" customHeight="1">
      <x:c r="A40" s="8" t="str">
        <x:v>S047</x:v>
      </x:c>
      <x:c r="B40" s="8" t="str">
        <x:v>Janashree Microfin Limited public business contact</x:v>
      </x:c>
      <x:c r="C40" s="8" t="str">
        <x:v>https://janashreemicrofinltd.com/contact/</x:v>
      </x:c>
      <x:c r="D40" s="8" t="str">
        <x:v>2026-10-03</x:v>
      </x:c>
      <x:c r="E40" s="8" t="str">
        <x:v>Not stated</x:v>
      </x:c>
      <x:c r="F40" s="8" t="str">
        <x:v>contact, company</x:v>
      </x:c>
      <x:c r="G40" s="8" t="str">
        <x:v>Company page publishes info@janashreemicrofinltd.com as a business routing inbox; it is not the named executive’s personal address.</x:v>
      </x:c>
    </x:row>
    <x:row r="41" ht="95" customHeight="1">
      <x:c r="A41" s="3" t="str">
        <x:v>S048</x:v>
      </x:c>
      <x:c r="B41" s="3" t="str">
        <x:v>Jeevan Utthan Financial Services Private Limited leadership evidence</x:v>
      </x:c>
      <x:c r="C41" s="3" t="str">
        <x:v>https://www.jeevanutthan.in/team-1.php</x:v>
      </x:c>
      <x:c r="D41" s="3" t="str">
        <x:v>2026-10-03</x:v>
      </x:c>
      <x:c r="E41" s="3" t="str">
        <x:v>Not stated</x:v>
      </x:c>
      <x:c r="F41" s="3" t="str">
        <x:v>role</x:v>
      </x:c>
      <x:c r="G41" s="3" t="str">
        <x:v>Current live page supports Aniket Poddar — Managing Director. Readiness is recorded separately.</x:v>
      </x:c>
    </x:row>
    <x:row r="42" ht="95" customHeight="1">
      <x:c r="A42" s="8" t="str">
        <x:v>S049</x:v>
      </x:c>
      <x:c r="B42" s="8" t="str">
        <x:v>Jeevan Utthan Financial Services Private Limited public business contact</x:v>
      </x:c>
      <x:c r="C42" s="8" t="str">
        <x:v>https://www.jeevanutthan.in/contact.php</x:v>
      </x:c>
      <x:c r="D42" s="8" t="str">
        <x:v>2026-10-03</x:v>
      </x:c>
      <x:c r="E42" s="8" t="str">
        <x:v>Not stated</x:v>
      </x:c>
      <x:c r="F42" s="8" t="str">
        <x:v>contact, company</x:v>
      </x:c>
      <x:c r="G42" s="8" t="str">
        <x:v>Company page publishes head.office@jeevanutthan.in as a business routing inbox; it is not the named executive’s personal address.</x:v>
      </x:c>
    </x:row>
    <x:row r="43" ht="95" customHeight="1">
      <x:c r="A43" s="3" t="str">
        <x:v>S050</x:v>
      </x:c>
      <x:c r="B43" s="3" t="str">
        <x:v>Keshava Prabha Microfin Private Limited. leadership evidence</x:v>
      </x:c>
      <x:c r="C43" s="3" t="str">
        <x:v>https://kpmicrofin.in/about-management-team</x:v>
      </x:c>
      <x:c r="D43" s="3" t="str">
        <x:v>2026-10-03</x:v>
      </x:c>
      <x:c r="E43" s="3" t="str">
        <x:v>Not stated</x:v>
      </x:c>
      <x:c r="F43" s="3" t="str">
        <x:v>role</x:v>
      </x:c>
      <x:c r="G43" s="3" t="str">
        <x:v>Current live page supports Vinu Krishnan — Managing Director &amp; CEO. Readiness is recorded separately.</x:v>
      </x:c>
    </x:row>
    <x:row r="44" ht="95" customHeight="1">
      <x:c r="A44" s="8" t="str">
        <x:v>S051</x:v>
      </x:c>
      <x:c r="B44" s="8" t="str">
        <x:v>Keshava Prabha Microfin Private Limited. contact page</x:v>
      </x:c>
      <x:c r="C44" s="8" t="str">
        <x:v>https://kpmicrofin.in/contact-us</x:v>
      </x:c>
      <x:c r="D44" s="8" t="str">
        <x:v>2026-10-03</x:v>
      </x:c>
      <x:c r="E44" s="8" t="str">
        <x:v>Not stated</x:v>
      </x:c>
      <x:c r="F44" s="8" t="str">
        <x:v>contact, company</x:v>
      </x:c>
      <x:c r="G44" s="8" t="str">
        <x:v>Official contact page is a generic routing option. No form was submitted.</x:v>
      </x:c>
    </x:row>
    <x:row r="45" ht="95" customHeight="1">
      <x:c r="A45" s="3" t="str">
        <x:v>S052</x:v>
      </x:c>
      <x:c r="B45" s="3" t="str">
        <x:v>KSR Capital Services Ltd leadership evidence</x:v>
      </x:c>
      <x:c r="C45" s="3" t="str">
        <x:v>https://ksrcsl.com/board-of-director.html</x:v>
      </x:c>
      <x:c r="D45" s="3" t="str">
        <x:v>2026-10-03</x:v>
      </x:c>
      <x:c r="E45" s="3" t="str">
        <x:v>Not stated</x:v>
      </x:c>
      <x:c r="F45" s="3" t="str">
        <x:v>role</x:v>
      </x:c>
      <x:c r="G45" s="3" t="str">
        <x:v>Current live page supports Kanchan Sharma — Managing Director. Readiness is recorded separately.</x:v>
      </x:c>
    </x:row>
    <x:row r="46" ht="95" customHeight="1">
      <x:c r="A46" s="8" t="str">
        <x:v>S053</x:v>
      </x:c>
      <x:c r="B46" s="8" t="str">
        <x:v>KSR Capital Services Ltd contact page</x:v>
      </x:c>
      <x:c r="C46" s="8" t="str">
        <x:v>https://ksrcsl.com/contact-us.html</x:v>
      </x:c>
      <x:c r="D46" s="8" t="str">
        <x:v>2026-10-03</x:v>
      </x:c>
      <x:c r="E46" s="8" t="str">
        <x:v>Not stated</x:v>
      </x:c>
      <x:c r="F46" s="8" t="str">
        <x:v>contact, company</x:v>
      </x:c>
      <x:c r="G46" s="8" t="str">
        <x:v>Official contact page is a generic routing option. No form was submitted.</x:v>
      </x:c>
    </x:row>
    <x:row r="47" ht="95" customHeight="1">
      <x:c r="A47" s="3" t="str">
        <x:v>S055</x:v>
      </x:c>
      <x:c r="B47" s="3" t="str">
        <x:v>Magalir Micro Capital Private Limited leadership evidence</x:v>
      </x:c>
      <x:c r="C47" s="3" t="str">
        <x:v>https://magalir.net/board-of-directors/</x:v>
      </x:c>
      <x:c r="D47" s="3" t="str">
        <x:v>2026-10-03</x:v>
      </x:c>
      <x:c r="E47" s="3" t="str">
        <x:v>Not stated</x:v>
      </x:c>
      <x:c r="F47" s="3" t="str">
        <x:v>role</x:v>
      </x:c>
      <x:c r="G47" s="3" t="str">
        <x:v>Current live page supports F. Sadiq — Managing Director. Readiness is recorded separately.</x:v>
      </x:c>
    </x:row>
    <x:row r="48" ht="95" customHeight="1">
      <x:c r="A48" s="8" t="str">
        <x:v>S056</x:v>
      </x:c>
      <x:c r="B48" s="8" t="str">
        <x:v>Magalir Micro Capital Private Limited contact page</x:v>
      </x:c>
      <x:c r="C48" s="8" t="str">
        <x:v>https://magalir.net/contact-us/</x:v>
      </x:c>
      <x:c r="D48" s="8" t="str">
        <x:v>2026-10-03</x:v>
      </x:c>
      <x:c r="E48" s="8" t="str">
        <x:v>Not stated</x:v>
      </x:c>
      <x:c r="F48" s="8" t="str">
        <x:v>contact, company</x:v>
      </x:c>
      <x:c r="G48" s="8" t="str">
        <x:v>Official contact page is a generic routing option. No form was submitted.</x:v>
      </x:c>
    </x:row>
    <x:row r="49" ht="95" customHeight="1">
      <x:c r="A49" s="3" t="str">
        <x:v>S058</x:v>
      </x:c>
      <x:c r="B49" s="3" t="str">
        <x:v>Midland Microfin Ltd leadership evidence</x:v>
      </x:c>
      <x:c r="C49" s="3" t="str">
        <x:v>https://midlandmicrofin.com/management-team/</x:v>
      </x:c>
      <x:c r="D49" s="3" t="str">
        <x:v>2026-10-03</x:v>
      </x:c>
      <x:c r="E49" s="3" t="str">
        <x:v>Not stated</x:v>
      </x:c>
      <x:c r="F49" s="3" t="str">
        <x:v>role</x:v>
      </x:c>
      <x:c r="G49" s="3" t="str">
        <x:v>Current live page supports Amardeep Singh Samra — Managing Director. Readiness is recorded separately.</x:v>
      </x:c>
    </x:row>
    <x:row r="50" ht="95" customHeight="1">
      <x:c r="A50" s="8" t="str">
        <x:v>S059</x:v>
      </x:c>
      <x:c r="B50" s="8" t="str">
        <x:v>Midland Microfin Ltd public business contact</x:v>
      </x:c>
      <x:c r="C50" s="8" t="str">
        <x:v>https://midlandmicrofin.com/contact-for-investor-griveances/</x:v>
      </x:c>
      <x:c r="D50" s="8" t="str">
        <x:v>2026-10-03</x:v>
      </x:c>
      <x:c r="E50" s="8" t="str">
        <x:v>Not stated</x:v>
      </x:c>
      <x:c r="F50" s="8" t="str">
        <x:v>contact, company</x:v>
      </x:c>
      <x:c r="G50" s="8" t="str">
        <x:v>Company page publishes info@midlandmicrofin.com as a business routing inbox; it is not the named executive’s personal address.</x:v>
      </x:c>
    </x:row>
    <x:row r="51" ht="95" customHeight="1">
      <x:c r="A51" s="3" t="str">
        <x:v>S060</x:v>
      </x:c>
      <x:c r="B51" s="3" t="str">
        <x:v>Mitrata Inclusive Financial Services Ltd. leadership evidence</x:v>
      </x:c>
      <x:c r="C51" s="3" t="str">
        <x:v>https://mitrata.in/aboutus/management-team/</x:v>
      </x:c>
      <x:c r="D51" s="3" t="str">
        <x:v>2026-10-03</x:v>
      </x:c>
      <x:c r="E51" s="3" t="str">
        <x:v>Not stated</x:v>
      </x:c>
      <x:c r="F51" s="3" t="str">
        <x:v>company, contact, role</x:v>
      </x:c>
      <x:c r="G51" s="3" t="str">
        <x:v>Current live page supports Prabhakar Rawat — Chief Operating Officer. Readiness is recorded separately.</x:v>
      </x:c>
    </x:row>
    <x:row r="52" ht="95" customHeight="1">
      <x:c r="A52" s="8" t="str">
        <x:v>S061</x:v>
      </x:c>
      <x:c r="B52" s="8" t="str">
        <x:v>MUTHOOT MICROFIN LIMITED contact page</x:v>
      </x:c>
      <x:c r="C52" s="8" t="str">
        <x:v>https://www.muthootmicrofin.com/contact</x:v>
      </x:c>
      <x:c r="D52" s="8" t="str">
        <x:v>2026-10-03</x:v>
      </x:c>
      <x:c r="E52" s="8" t="str">
        <x:v>Not stated</x:v>
      </x:c>
      <x:c r="F52" s="8" t="str">
        <x:v>contact, company</x:v>
      </x:c>
      <x:c r="G52" s="8" t="str">
        <x:v>Official contact page is a generic routing option. No form was submitted.</x:v>
      </x:c>
    </x:row>
    <x:row r="53" ht="95" customHeight="1">
      <x:c r="A53" s="3" t="str">
        <x:v>S062</x:v>
      </x:c>
      <x:c r="B53" s="3" t="str">
        <x:v>NABFINS Limited leadership evidence</x:v>
      </x:c>
      <x:c r="C53" s="3" t="str">
        <x:v>https://nabfins.org/boardofdirectors/</x:v>
      </x:c>
      <x:c r="D53" s="3" t="str">
        <x:v>2026-10-03</x:v>
      </x:c>
      <x:c r="E53" s="3" t="str">
        <x:v>Not stated</x:v>
      </x:c>
      <x:c r="F53" s="3" t="str">
        <x:v>role</x:v>
      </x:c>
      <x:c r="G53" s="3" t="str">
        <x:v>Current live page supports Haragopal Yandra — Managing Director. Readiness is recorded separately.</x:v>
      </x:c>
    </x:row>
    <x:row r="54" ht="95" customHeight="1">
      <x:c r="A54" s="8" t="str">
        <x:v>S064</x:v>
      </x:c>
      <x:c r="B54" s="8" t="str">
        <x:v>Navachetana Microfin Services Limited leadership evidence</x:v>
      </x:c>
      <x:c r="C54" s="8" t="str">
        <x:v>https://www.navachetana.in/about-us/</x:v>
      </x:c>
      <x:c r="D54" s="8" t="str">
        <x:v>2026-10-03</x:v>
      </x:c>
      <x:c r="E54" s="8" t="str">
        <x:v>Not stated</x:v>
      </x:c>
      <x:c r="F54" s="8" t="str">
        <x:v>role</x:v>
      </x:c>
      <x:c r="G54" s="8" t="str">
        <x:v>Current live page supports Nagendra V. Mali — Chairman &amp; Managing Director. Readiness is recorded separately.</x:v>
      </x:c>
    </x:row>
    <x:row r="55" ht="95" customHeight="1">
      <x:c r="A55" s="3" t="str">
        <x:v>S065</x:v>
      </x:c>
      <x:c r="B55" s="3" t="str">
        <x:v>Navachetana Microfin Services Limited contact page</x:v>
      </x:c>
      <x:c r="C55" s="3" t="str">
        <x:v>https://www.navachetana.in/contact-details/</x:v>
      </x:c>
      <x:c r="D55" s="3" t="str">
        <x:v>2026-10-03</x:v>
      </x:c>
      <x:c r="E55" s="3" t="str">
        <x:v>Not stated</x:v>
      </x:c>
      <x:c r="F55" s="3" t="str">
        <x:v>contact, company</x:v>
      </x:c>
      <x:c r="G55" s="3" t="str">
        <x:v>Official contact page is a generic routing option. No form was submitted.</x:v>
      </x:c>
    </x:row>
    <x:row r="56" ht="95" customHeight="1">
      <x:c r="A56" s="8" t="str">
        <x:v>S067</x:v>
      </x:c>
      <x:c r="B56" s="8" t="str">
        <x:v>Nightingale Finvest Pvt. Ltd. leadership evidence</x:v>
      </x:c>
      <x:c r="C56" s="8" t="str">
        <x:v>https://nightingalefinvest.in/board-of-directors/</x:v>
      </x:c>
      <x:c r="D56" s="8" t="str">
        <x:v>2026-10-03</x:v>
      </x:c>
      <x:c r="E56" s="8" t="str">
        <x:v>Not stated</x:v>
      </x:c>
      <x:c r="F56" s="8" t="str">
        <x:v>role</x:v>
      </x:c>
      <x:c r="G56" s="8" t="str">
        <x:v>Current live page supports Mantu Nath Sarma — Managing Director. Readiness is recorded separately.</x:v>
      </x:c>
    </x:row>
    <x:row r="57" ht="95" customHeight="1">
      <x:c r="A57" s="3" t="str">
        <x:v>S068</x:v>
      </x:c>
      <x:c r="B57" s="3" t="str">
        <x:v>Nightingale Finvest Pvt. Ltd. contact page</x:v>
      </x:c>
      <x:c r="C57" s="3" t="str">
        <x:v>https://nightingalefinvest.in/contact-us/</x:v>
      </x:c>
      <x:c r="D57" s="3" t="str">
        <x:v>2026-10-03</x:v>
      </x:c>
      <x:c r="E57" s="3" t="str">
        <x:v>Not stated</x:v>
      </x:c>
      <x:c r="F57" s="3" t="str">
        <x:v>contact, company</x:v>
      </x:c>
      <x:c r="G57" s="3" t="str">
        <x:v>Official contact page is a generic routing option. No form was submitted.</x:v>
      </x:c>
    </x:row>
    <x:row r="58" ht="95" customHeight="1">
      <x:c r="A58" s="8" t="str">
        <x:v>S070</x:v>
      </x:c>
      <x:c r="B58" s="8" t="str">
        <x:v>Orange Retail Finance India Private Limited leadership evidence</x:v>
      </x:c>
      <x:c r="C58" s="8" t="str">
        <x:v>https://services.orangeretailfinance.com/board-of-directors</x:v>
      </x:c>
      <x:c r="D58" s="8" t="str">
        <x:v>2026-10-03</x:v>
      </x:c>
      <x:c r="E58" s="8" t="str">
        <x:v>Not stated</x:v>
      </x:c>
      <x:c r="F58" s="8" t="str">
        <x:v>role</x:v>
      </x:c>
      <x:c r="G58" s="8" t="str">
        <x:v>Current live page supports Ebenezer Daniel — Founder, Managing Director &amp; CEO. Readiness is recorded separately.</x:v>
      </x:c>
    </x:row>
    <x:row r="59" ht="95" customHeight="1">
      <x:c r="A59" s="3" t="str">
        <x:v>S071</x:v>
      </x:c>
      <x:c r="B59" s="3" t="str">
        <x:v>PAFT FINANCE LIMITED leadership evidence</x:v>
      </x:c>
      <x:c r="C59" s="3" t="str">
        <x:v>https://patgroup.org/aboutus.php</x:v>
      </x:c>
      <x:c r="D59" s="3" t="str">
        <x:v>2026-10-03</x:v>
      </x:c>
      <x:c r="E59" s="3" t="str">
        <x:v>Not stated</x:v>
      </x:c>
      <x:c r="F59" s="3" t="str">
        <x:v>role</x:v>
      </x:c>
      <x:c r="G59" s="3" t="str">
        <x:v>Current live page supports R. Stephen Francis Xavier — Managing Director. Readiness is recorded separately.</x:v>
      </x:c>
    </x:row>
    <x:row r="60" ht="95" customHeight="1">
      <x:c r="A60" s="8" t="str">
        <x:v>S072</x:v>
      </x:c>
      <x:c r="B60" s="8" t="str">
        <x:v>PAFT FINANCE LIMITED contact page</x:v>
      </x:c>
      <x:c r="C60" s="8" t="str">
        <x:v>https://patgroup.org/contact.php</x:v>
      </x:c>
      <x:c r="D60" s="8" t="str">
        <x:v>2026-10-03</x:v>
      </x:c>
      <x:c r="E60" s="8" t="str">
        <x:v>Not stated</x:v>
      </x:c>
      <x:c r="F60" s="8" t="str">
        <x:v>contact, company</x:v>
      </x:c>
      <x:c r="G60" s="8" t="str">
        <x:v>Official contact page is a generic routing option. No form was submitted.</x:v>
      </x:c>
    </x:row>
    <x:row r="61" ht="95" customHeight="1">
      <x:c r="A61" s="3" t="str">
        <x:v>S073</x:v>
      </x:c>
      <x:c r="B61" s="3" t="str">
        <x:v>Pahal Financial Services Pvt Ltd leadership evidence</x:v>
      </x:c>
      <x:c r="C61" s="3" t="str">
        <x:v>https://pahalfinance.com/team-category/board-of-directors/</x:v>
      </x:c>
      <x:c r="D61" s="3" t="str">
        <x:v>2026-10-03</x:v>
      </x:c>
      <x:c r="E61" s="3" t="str">
        <x:v>Not stated</x:v>
      </x:c>
      <x:c r="F61" s="3" t="str">
        <x:v>role</x:v>
      </x:c>
      <x:c r="G61" s="3" t="str">
        <x:v>Current live page supports Kartik S. Mehta — Co-founder &amp; Managing Director. Readiness is recorded separately.</x:v>
      </x:c>
    </x:row>
    <x:row r="62" ht="95" customHeight="1">
      <x:c r="A62" s="8" t="str">
        <x:v>S074</x:v>
      </x:c>
      <x:c r="B62" s="8" t="str">
        <x:v>Pahal Financial Services Pvt Ltd public business contact</x:v>
      </x:c>
      <x:c r="C62" s="8" t="str">
        <x:v>https://pahalfinance.com/</x:v>
      </x:c>
      <x:c r="D62" s="8" t="str">
        <x:v>2026-10-03</x:v>
      </x:c>
      <x:c r="E62" s="8" t="str">
        <x:v>Not stated</x:v>
      </x:c>
      <x:c r="F62" s="8" t="str">
        <x:v>contact, company</x:v>
      </x:c>
      <x:c r="G62" s="8" t="str">
        <x:v>Company page publishes ho@pahalfinance.com as a business routing inbox; it is not the named executive’s personal address.</x:v>
      </x:c>
    </x:row>
    <x:row r="63" ht="95" customHeight="1">
      <x:c r="A63" s="3" t="str">
        <x:v>S076</x:v>
      </x:c>
      <x:c r="B63" s="3" t="str">
        <x:v>Palma Development Finance Private Limited leadership evidence</x:v>
      </x:c>
      <x:c r="C63" s="3" t="str">
        <x:v>https://palmamicrofin.com/</x:v>
      </x:c>
      <x:c r="D63" s="3" t="str">
        <x:v>2026-10-03</x:v>
      </x:c>
      <x:c r="E63" s="3" t="str">
        <x:v>Not stated</x:v>
      </x:c>
      <x:c r="F63" s="3" t="str">
        <x:v>role</x:v>
      </x:c>
      <x:c r="G63" s="3" t="str">
        <x:v>Current live page supports Joju Madathumpady Johny — Director. Readiness is recorded separately.</x:v>
      </x:c>
    </x:row>
    <x:row r="64" ht="95" customHeight="1">
      <x:c r="A64" s="8" t="str">
        <x:v>S077</x:v>
      </x:c>
      <x:c r="B64" s="8" t="str">
        <x:v>Pratyancha Financial Services Limited. leadership evidence</x:v>
      </x:c>
      <x:c r="C64" s="8" t="str">
        <x:v>https://pratyancha.co.in/team.html</x:v>
      </x:c>
      <x:c r="D64" s="8" t="str">
        <x:v>2026-10-03</x:v>
      </x:c>
      <x:c r="E64" s="8" t="str">
        <x:v>Not stated</x:v>
      </x:c>
      <x:c r="F64" s="8" t="str">
        <x:v>role</x:v>
      </x:c>
      <x:c r="G64" s="8" t="str">
        <x:v>Current live page supports Asim Siddique — Chief Operating Officer. Readiness is recorded separately.</x:v>
      </x:c>
    </x:row>
    <x:row r="65" ht="95" customHeight="1">
      <x:c r="A65" s="3" t="str">
        <x:v>S078</x:v>
      </x:c>
      <x:c r="B65" s="3" t="str">
        <x:v>Pratyancha Financial Services Limited. contact page</x:v>
      </x:c>
      <x:c r="C65" s="3" t="str">
        <x:v>https://pratyancha.co.in/contact.html</x:v>
      </x:c>
      <x:c r="D65" s="3" t="str">
        <x:v>2026-10-03</x:v>
      </x:c>
      <x:c r="E65" s="3" t="str">
        <x:v>Not stated</x:v>
      </x:c>
      <x:c r="F65" s="3" t="str">
        <x:v>contact, company</x:v>
      </x:c>
      <x:c r="G65" s="3" t="str">
        <x:v>Official contact page is a generic routing option. No form was submitted.</x:v>
      </x:c>
    </x:row>
    <x:row r="66" ht="95" customHeight="1">
      <x:c r="A66" s="8" t="str">
        <x:v>S079</x:v>
      </x:c>
      <x:c r="B66" s="8" t="str">
        <x:v>Prayas Financial Services Pvt. Ltd. leadership evidence</x:v>
      </x:c>
      <x:c r="C66" s="8" t="str">
        <x:v>https://prayasfinance.com/</x:v>
      </x:c>
      <x:c r="D66" s="8" t="str">
        <x:v>2026-10-03</x:v>
      </x:c>
      <x:c r="E66" s="8" t="str">
        <x:v>Not stated</x:v>
      </x:c>
      <x:c r="F66" s="8" t="str">
        <x:v>role</x:v>
      </x:c>
      <x:c r="G66" s="8" t="str">
        <x:v>Current live page supports Abhisek Khanna — Managing Director &amp; CEO. Readiness is recorded separately.</x:v>
      </x:c>
    </x:row>
    <x:row r="67" ht="95" customHeight="1">
      <x:c r="A67" s="3" t="str">
        <x:v>S080</x:v>
      </x:c>
      <x:c r="B67" s="3" t="str">
        <x:v>Prayatna Microfinance Limited leadership evidence</x:v>
      </x:c>
      <x:c r="C67" s="3" t="str">
        <x:v>https://www.prayatnamicrofinance.com/board-of-directors/</x:v>
      </x:c>
      <x:c r="D67" s="3" t="str">
        <x:v>2026-10-03</x:v>
      </x:c>
      <x:c r="E67" s="3" t="str">
        <x:v>Not stated</x:v>
      </x:c>
      <x:c r="F67" s="3" t="str">
        <x:v>role</x:v>
      </x:c>
      <x:c r="G67" s="3" t="str">
        <x:v>Current live page supports Somya Srivastava — Director &amp; CEO. Readiness is recorded separately.</x:v>
      </x:c>
    </x:row>
    <x:row r="68" ht="95" customHeight="1">
      <x:c r="A68" s="8" t="str">
        <x:v>S081</x:v>
      </x:c>
      <x:c r="B68" s="8" t="str">
        <x:v>Prayatna Microfinance Limited public business contact</x:v>
      </x:c>
      <x:c r="C68" s="8" t="str">
        <x:v>https://www.prayatnamicrofinance.com/contact/</x:v>
      </x:c>
      <x:c r="D68" s="8" t="str">
        <x:v>2026-10-03</x:v>
      </x:c>
      <x:c r="E68" s="8" t="str">
        <x:v>Not stated</x:v>
      </x:c>
      <x:c r="F68" s="8" t="str">
        <x:v>contact, company</x:v>
      </x:c>
      <x:c r="G68" s="8" t="str">
        <x:v>Company page publishes info@prayatnamicrofinance.com as a business routing inbox; it is not the named executive’s personal address.</x:v>
      </x:c>
    </x:row>
    <x:row r="69" ht="95" customHeight="1">
      <x:c r="A69" s="3" t="str">
        <x:v>S082</x:v>
      </x:c>
      <x:c r="B69" s="3" t="str">
        <x:v>REPCO Microfinance Ltd. leadership evidence</x:v>
      </x:c>
      <x:c r="C69" s="3" t="str">
        <x:v>https://repcomicrofin.co.in/board-of-directors.html</x:v>
      </x:c>
      <x:c r="D69" s="3" t="str">
        <x:v>2026-10-03</x:v>
      </x:c>
      <x:c r="E69" s="3" t="str">
        <x:v>Not stated</x:v>
      </x:c>
      <x:c r="F69" s="3" t="str">
        <x:v>role</x:v>
      </x:c>
      <x:c r="G69" s="3" t="str">
        <x:v>Current live page supports A. G. Venkatachalam — Managing Director &amp; CEO. Readiness is recorded separately.</x:v>
      </x:c>
    </x:row>
    <x:row r="70" ht="95" customHeight="1">
      <x:c r="A70" s="8" t="str">
        <x:v>S088</x:v>
      </x:c>
      <x:c r="B70" s="8" t="str">
        <x:v>Samvedna Microfinance Private Limited leadership evidence</x:v>
      </x:c>
      <x:c r="C70" s="8" t="str">
        <x:v>https://samvednamfi.com/</x:v>
      </x:c>
      <x:c r="D70" s="8" t="str">
        <x:v>2026-10-03</x:v>
      </x:c>
      <x:c r="E70" s="8" t="str">
        <x:v>Not stated</x:v>
      </x:c>
      <x:c r="F70" s="8" t="str">
        <x:v>company, role</x:v>
      </x:c>
      <x:c r="G70" s="8" t="str">
        <x:v>Samvedna describes operations in Uttar Pradesh and Bihar and plans to extend its reach.</x:v>
      </x:c>
    </x:row>
    <x:row r="71" ht="95" customHeight="1">
      <x:c r="A71" s="3" t="str">
        <x:v>S090</x:v>
      </x:c>
      <x:c r="B71" s="3" t="str">
        <x:v>Sanghamithra Rural Financial Services public business contact</x:v>
      </x:c>
      <x:c r="C71" s="3" t="str">
        <x:v>https://sanghamithra.org/contact-us/</x:v>
      </x:c>
      <x:c r="D71" s="3" t="str">
        <x:v>2026-10-03</x:v>
      </x:c>
      <x:c r="E71" s="3" t="str">
        <x:v>Not stated</x:v>
      </x:c>
      <x:c r="F71" s="3" t="str">
        <x:v>contact, company</x:v>
      </x:c>
      <x:c r="G71" s="3" t="str">
        <x:v>Company page publishes info@sanghamithra.org as a business routing inbox; it is not the named executive’s personal address.</x:v>
      </x:c>
    </x:row>
    <x:row r="72" ht="95" customHeight="1">
      <x:c r="A72" s="8" t="str">
        <x:v>S091</x:v>
      </x:c>
      <x:c r="B72" s="8" t="str">
        <x:v>Sarala Development &amp; Microfinance Pvt Ltd leadership evidence</x:v>
      </x:c>
      <x:c r="C72" s="8" t="str">
        <x:v>https://sarala.co.in/management-team/</x:v>
      </x:c>
      <x:c r="D72" s="8" t="str">
        <x:v>2026-10-03</x:v>
      </x:c>
      <x:c r="E72" s="8" t="str">
        <x:v>Not stated</x:v>
      </x:c>
      <x:c r="F72" s="8" t="str">
        <x:v>role</x:v>
      </x:c>
      <x:c r="G72" s="8" t="str">
        <x:v>Current live page supports Pranab Rakshit — Managing Director. Readiness is recorded separately.</x:v>
      </x:c>
    </x:row>
    <x:row r="73" ht="95" customHeight="1">
      <x:c r="A73" s="3" t="str">
        <x:v>S092</x:v>
      </x:c>
      <x:c r="B73" s="3" t="str">
        <x:v>Sarala Development &amp; Microfinance Pvt Ltd public business contact</x:v>
      </x:c>
      <x:c r="C73" s="3" t="str">
        <x:v>https://sarala.co.in/contact/</x:v>
      </x:c>
      <x:c r="D73" s="3" t="str">
        <x:v>2026-10-03</x:v>
      </x:c>
      <x:c r="E73" s="3" t="str">
        <x:v>Not stated</x:v>
      </x:c>
      <x:c r="F73" s="3" t="str">
        <x:v>contact, company</x:v>
      </x:c>
      <x:c r="G73" s="3" t="str">
        <x:v>Company page publishes info@sarala.co.in as a business routing inbox; it is not the named executive’s personal address.</x:v>
      </x:c>
    </x:row>
    <x:row r="74" ht="95" customHeight="1">
      <x:c r="A74" s="8" t="str">
        <x:v>S096</x:v>
      </x:c>
      <x:c r="B74" s="8" t="str">
        <x:v>Satin Creditcare Network Limited public business contact</x:v>
      </x:c>
      <x:c r="C74" s="8" t="str">
        <x:v>https://satincreditcare.com/contact-us/</x:v>
      </x:c>
      <x:c r="D74" s="8" t="str">
        <x:v>2026-10-03</x:v>
      </x:c>
      <x:c r="E74" s="8" t="str">
        <x:v>Not stated</x:v>
      </x:c>
      <x:c r="F74" s="8" t="str">
        <x:v>contact, company</x:v>
      </x:c>
      <x:c r="G74" s="8" t="str">
        <x:v>Company page publishes info@satincreditcare.com as a business routing inbox; it is not the named executive’s personal address.</x:v>
      </x:c>
    </x:row>
    <x:row r="75" ht="95" customHeight="1">
      <x:c r="A75" s="3" t="str">
        <x:v>S098</x:v>
      </x:c>
      <x:c r="B75" s="3" t="str">
        <x:v>Satya MicroCapital Limited leadership evidence</x:v>
      </x:c>
      <x:c r="C75" s="3" t="str">
        <x:v>https://satyamicrocapital.com/our-board/</x:v>
      </x:c>
      <x:c r="D75" s="3" t="str">
        <x:v>2026-10-03</x:v>
      </x:c>
      <x:c r="E75" s="3" t="str">
        <x:v>Not stated</x:v>
      </x:c>
      <x:c r="F75" s="3" t="str">
        <x:v>role</x:v>
      </x:c>
      <x:c r="G75" s="3" t="str">
        <x:v>Current live page supports Vivek Tiwari — Chairman, Managing Director &amp; CEO. Readiness is recorded separately.</x:v>
      </x:c>
    </x:row>
    <x:row r="76" ht="95" customHeight="1">
      <x:c r="A76" s="8" t="str">
        <x:v>S099</x:v>
      </x:c>
      <x:c r="B76" s="8" t="str">
        <x:v>Satya MicroCapital Limited public business contact</x:v>
      </x:c>
      <x:c r="C76" s="8" t="str">
        <x:v>https://satyamicrocapital.com/</x:v>
      </x:c>
      <x:c r="D76" s="8" t="str">
        <x:v>2026-10-03</x:v>
      </x:c>
      <x:c r="E76" s="8" t="str">
        <x:v>Not stated</x:v>
      </x:c>
      <x:c r="F76" s="8" t="str">
        <x:v>contact, company</x:v>
      </x:c>
      <x:c r="G76" s="8" t="str">
        <x:v>Company page publishes info@satyamicrocapital.com as a business routing inbox; it is not the named executive’s personal address.</x:v>
      </x:c>
    </x:row>
    <x:row r="77" ht="95" customHeight="1">
      <x:c r="A77" s="3" t="str">
        <x:v>S101</x:v>
      </x:c>
      <x:c r="B77" s="3" t="str">
        <x:v>SEED Capital Private Limited leadership evidence</x:v>
      </x:c>
      <x:c r="C77" s="3" t="str">
        <x:v>https://seedcapital.co.in/html/about</x:v>
      </x:c>
      <x:c r="D77" s="3" t="str">
        <x:v>2026-10-03</x:v>
      </x:c>
      <x:c r="E77" s="3" t="str">
        <x:v>Not stated</x:v>
      </x:c>
      <x:c r="F77" s="3" t="str">
        <x:v>role</x:v>
      </x:c>
      <x:c r="G77" s="3" t="str">
        <x:v>Current live page supports Sanjeet Kumar — Director. Readiness is recorded separately.</x:v>
      </x:c>
    </x:row>
    <x:row r="78" ht="95" customHeight="1">
      <x:c r="A78" s="8" t="str">
        <x:v>S102</x:v>
      </x:c>
      <x:c r="B78" s="8" t="str">
        <x:v>SEED Capital Private Limited contact page</x:v>
      </x:c>
      <x:c r="C78" s="8" t="str">
        <x:v>https://seedcapital.co.in/html/contact</x:v>
      </x:c>
      <x:c r="D78" s="8" t="str">
        <x:v>2026-10-03</x:v>
      </x:c>
      <x:c r="E78" s="8" t="str">
        <x:v>Not stated</x:v>
      </x:c>
      <x:c r="F78" s="8" t="str">
        <x:v>contact, company</x:v>
      </x:c>
      <x:c r="G78" s="8" t="str">
        <x:v>Official contact page is a generic routing option. No form was submitted.</x:v>
      </x:c>
    </x:row>
    <x:row r="79" ht="95" customHeight="1">
      <x:c r="A79" s="3" t="str">
        <x:v>S103</x:v>
      </x:c>
      <x:c r="B79" s="3" t="str">
        <x:v>Servitium Micro Finance Private Limited leadership evidence</x:v>
      </x:c>
      <x:c r="C79" s="3" t="str">
        <x:v>https://servitium.in/about-us/management-team/</x:v>
      </x:c>
      <x:c r="D79" s="3" t="str">
        <x:v>2026-10-03</x:v>
      </x:c>
      <x:c r="E79" s="3" t="str">
        <x:v>Not stated</x:v>
      </x:c>
      <x:c r="F79" s="3" t="str">
        <x:v>role</x:v>
      </x:c>
      <x:c r="G79" s="3" t="str">
        <x:v>Current live page supports Subrata Ghosh — Managing Director. Readiness is recorded separately.</x:v>
      </x:c>
    </x:row>
    <x:row r="80" ht="95" customHeight="1">
      <x:c r="A80" s="8" t="str">
        <x:v>S104</x:v>
      </x:c>
      <x:c r="B80" s="8" t="str">
        <x:v>Share India Fincap Private Limited leadership evidence</x:v>
      </x:c>
      <x:c r="C80" s="8" t="str">
        <x:v>https://www.shareindiafincap.com/our-team.html</x:v>
      </x:c>
      <x:c r="D80" s="8" t="str">
        <x:v>2026-10-03</x:v>
      </x:c>
      <x:c r="E80" s="8" t="str">
        <x:v>Not stated</x:v>
      </x:c>
      <x:c r="F80" s="8" t="str">
        <x:v>role</x:v>
      </x:c>
      <x:c r="G80" s="8" t="str">
        <x:v>Current live page supports Aastha Gupta — CEO. Readiness is recorded separately.</x:v>
      </x:c>
    </x:row>
    <x:row r="81" ht="95" customHeight="1">
      <x:c r="A81" s="3" t="str">
        <x:v>S105</x:v>
      </x:c>
      <x:c r="B81" s="3" t="str">
        <x:v>Share India Fincap Private Limited public business contact</x:v>
      </x:c>
      <x:c r="C81" s="3" t="str">
        <x:v>https://www.shareindiafincap.com/contact-us.html</x:v>
      </x:c>
      <x:c r="D81" s="3" t="str">
        <x:v>2026-10-03</x:v>
      </x:c>
      <x:c r="E81" s="3" t="str">
        <x:v>Not stated</x:v>
      </x:c>
      <x:c r="F81" s="3" t="str">
        <x:v>contact, company</x:v>
      </x:c>
      <x:c r="G81" s="3" t="str">
        <x:v>Company page publishes info@shareindiafincap.co.in as a business routing inbox; it is not the named executive’s personal address.</x:v>
      </x:c>
    </x:row>
    <x:row r="82" ht="95" customHeight="1">
      <x:c r="A82" s="8" t="str">
        <x:v>S110</x:v>
      </x:c>
      <x:c r="B82" s="8" t="str">
        <x:v>South India Finvest Private Limited leadership evidence</x:v>
      </x:c>
      <x:c r="C82" s="8" t="str">
        <x:v>https://southindiafinvest.com/</x:v>
      </x:c>
      <x:c r="D82" s="8" t="str">
        <x:v>2026-10-03</x:v>
      </x:c>
      <x:c r="E82" s="8" t="str">
        <x:v>Not stated</x:v>
      </x:c>
      <x:c r="F82" s="8" t="str">
        <x:v>role</x:v>
      </x:c>
      <x:c r="G82" s="8" t="str">
        <x:v>Current live page supports Shanmuga Sundaram R — Executive Director &amp; CTO. Readiness is recorded separately.</x:v>
      </x:c>
    </x:row>
    <x:row r="83" ht="95" customHeight="1">
      <x:c r="A83" s="3" t="str">
        <x:v>S111</x:v>
      </x:c>
      <x:c r="B83" s="3" t="str">
        <x:v>South India Finvest Private Limited contact page</x:v>
      </x:c>
      <x:c r="C83" s="3" t="str">
        <x:v>https://southindiafinvest.com/contact-us</x:v>
      </x:c>
      <x:c r="D83" s="3" t="str">
        <x:v>2026-10-03</x:v>
      </x:c>
      <x:c r="E83" s="3" t="str">
        <x:v>Not stated</x:v>
      </x:c>
      <x:c r="F83" s="3" t="str">
        <x:v>contact, company</x:v>
      </x:c>
      <x:c r="G83" s="3" t="str">
        <x:v>Official contact page is a generic routing option. No form was submitted.</x:v>
      </x:c>
    </x:row>
    <x:row r="84" ht="95" customHeight="1">
      <x:c r="A84" s="8" t="str">
        <x:v>S112</x:v>
      </x:c>
      <x:c r="B84" s="8" t="str">
        <x:v>South Indian Credit Ltd leadership evidence</x:v>
      </x:c>
      <x:c r="C84" s="8" t="str">
        <x:v>https://southindiancredits.com/about</x:v>
      </x:c>
      <x:c r="D84" s="8" t="str">
        <x:v>2026-10-03</x:v>
      </x:c>
      <x:c r="E84" s="8" t="str">
        <x:v>Not stated</x:v>
      </x:c>
      <x:c r="F84" s="8" t="str">
        <x:v>role</x:v>
      </x:c>
      <x:c r="G84" s="8" t="str">
        <x:v>Current live page supports Elby Thomson — Managing Director &amp; CEO. Readiness is recorded separately.</x:v>
      </x:c>
    </x:row>
    <x:row r="85" ht="95" customHeight="1">
      <x:c r="A85" s="3" t="str">
        <x:v>S113</x:v>
      </x:c>
      <x:c r="B85" s="3" t="str">
        <x:v>Srifin Credit Private Limited leadership evidence</x:v>
      </x:c>
      <x:c r="C85" s="3" t="str">
        <x:v>https://www.srifincredit.com/management-team.html</x:v>
      </x:c>
      <x:c r="D85" s="3" t="str">
        <x:v>2026-10-03</x:v>
      </x:c>
      <x:c r="E85" s="3" t="str">
        <x:v>Not stated</x:v>
      </x:c>
      <x:c r="F85" s="3" t="str">
        <x:v>company, contact, role</x:v>
      </x:c>
      <x:c r="G85" s="3" t="str">
        <x:v>Current live page supports Vivek Dave — Managing Director &amp; CEO. Readiness is recorded separately.</x:v>
      </x:c>
    </x:row>
    <x:row r="86" ht="95" customHeight="1">
      <x:c r="A86" s="8" t="str">
        <x:v>S116</x:v>
      </x:c>
      <x:c r="B86" s="8" t="str">
        <x:v>Svamaan Financial Services Private Ltd. leadership evidence</x:v>
      </x:c>
      <x:c r="C86" s="8" t="str">
        <x:v>https://www.svamaan.in/Founder-and-Directors.php</x:v>
      </x:c>
      <x:c r="D86" s="8" t="str">
        <x:v>2026-10-03</x:v>
      </x:c>
      <x:c r="E86" s="8" t="str">
        <x:v>Not stated</x:v>
      </x:c>
      <x:c r="F86" s="8" t="str">
        <x:v>role</x:v>
      </x:c>
      <x:c r="G86" s="8" t="str">
        <x:v>Current live page supports G. Kiran Kumar — Executive Director &amp; CEO. Readiness is recorded separately.</x:v>
      </x:c>
    </x:row>
    <x:row r="87" ht="95" customHeight="1">
      <x:c r="A87" s="3" t="str">
        <x:v>S117</x:v>
      </x:c>
      <x:c r="B87" s="3" t="str">
        <x:v>Svamaan Financial Services Private Ltd. contact page</x:v>
      </x:c>
      <x:c r="C87" s="3" t="str">
        <x:v>https://www.svamaan.in/contact-us.php</x:v>
      </x:c>
      <x:c r="D87" s="3" t="str">
        <x:v>2026-10-03</x:v>
      </x:c>
      <x:c r="E87" s="3" t="str">
        <x:v>Not stated</x:v>
      </x:c>
      <x:c r="F87" s="3" t="str">
        <x:v>contact, company</x:v>
      </x:c>
      <x:c r="G87" s="3" t="str">
        <x:v>Official contact page is a generic routing option. No form was submitted.</x:v>
      </x:c>
    </x:row>
    <x:row r="88" ht="95" customHeight="1">
      <x:c r="A88" s="8" t="str">
        <x:v>S120</x:v>
      </x:c>
      <x:c r="B88" s="8" t="str">
        <x:v>Swarnodhayam Credits Private Limited leadership evidence</x:v>
      </x:c>
      <x:c r="C88" s="8" t="str">
        <x:v>https://www.swarnodhayam.com/executive-committee</x:v>
      </x:c>
      <x:c r="D88" s="8" t="str">
        <x:v>2026-10-03</x:v>
      </x:c>
      <x:c r="E88" s="8" t="str">
        <x:v>Not stated</x:v>
      </x:c>
      <x:c r="F88" s="8" t="str">
        <x:v>role</x:v>
      </x:c>
      <x:c r="G88" s="8" t="str">
        <x:v>Current live page supports Satish D. — Managing Director &amp; CEO. Readiness is recorded separately.</x:v>
      </x:c>
    </x:row>
    <x:row r="89" ht="95" customHeight="1">
      <x:c r="A89" s="3" t="str">
        <x:v>S121</x:v>
      </x:c>
      <x:c r="B89" s="3" t="str">
        <x:v>Swarnodhayam Credits Private Limited public business contact</x:v>
      </x:c>
      <x:c r="C89" s="3" t="str">
        <x:v>https://www.swarnodhayam.com/contact-us</x:v>
      </x:c>
      <x:c r="D89" s="3" t="str">
        <x:v>2026-10-03</x:v>
      </x:c>
      <x:c r="E89" s="3" t="str">
        <x:v>Not stated</x:v>
      </x:c>
      <x:c r="F89" s="3" t="str">
        <x:v>contact, company</x:v>
      </x:c>
      <x:c r="G89" s="3" t="str">
        <x:v>Company page publishes contact@swarnodhayam.com as a business routing inbox; it is not the named executive’s personal address.</x:v>
      </x:c>
    </x:row>
    <x:row r="90" ht="95" customHeight="1">
      <x:c r="A90" s="8" t="str">
        <x:v>S122</x:v>
      </x:c>
      <x:c r="B90" s="8" t="str">
        <x:v>UNACCO Financial Services Pvt. Ltd. leadership evidence</x:v>
      </x:c>
      <x:c r="C90" s="8" t="str">
        <x:v>https://www.unacco.in/management-team</x:v>
      </x:c>
      <x:c r="D90" s="8" t="str">
        <x:v>2026-10-03</x:v>
      </x:c>
      <x:c r="E90" s="8" t="str">
        <x:v>Not stated</x:v>
      </x:c>
      <x:c r="F90" s="8" t="str">
        <x:v>role</x:v>
      </x:c>
      <x:c r="G90" s="8" t="str">
        <x:v>Current live page supports L. Khogen Singh — CEO. Readiness is recorded separately.</x:v>
      </x:c>
    </x:row>
    <x:row r="91" ht="95" customHeight="1">
      <x:c r="A91" s="3" t="str">
        <x:v>S123</x:v>
      </x:c>
      <x:c r="B91" s="3" t="str">
        <x:v>UNACCO Financial Services Pvt. Ltd. public business contact</x:v>
      </x:c>
      <x:c r="C91" s="3" t="str">
        <x:v>https://www.unacco.in/contact-us</x:v>
      </x:c>
      <x:c r="D91" s="3" t="str">
        <x:v>2026-10-03</x:v>
      </x:c>
      <x:c r="E91" s="3" t="str">
        <x:v>Not stated</x:v>
      </x:c>
      <x:c r="F91" s="3" t="str">
        <x:v>contact, company</x:v>
      </x:c>
      <x:c r="G91" s="3" t="str">
        <x:v>Company page publishes info@unacco.in as a business routing inbox; it is not the named executive’s personal address.</x:v>
      </x:c>
    </x:row>
    <x:row r="92" ht="95" customHeight="1">
      <x:c r="A92" s="8" t="str">
        <x:v>S124</x:v>
      </x:c>
      <x:c r="B92" s="8" t="str">
        <x:v>Unnati Microfin Pvt Ltd. leadership evidence</x:v>
      </x:c>
      <x:c r="C92" s="8" t="str">
        <x:v>https://unnattifinserv.com/board-of-directors.html</x:v>
      </x:c>
      <x:c r="D92" s="8" t="str">
        <x:v>2026-10-03</x:v>
      </x:c>
      <x:c r="E92" s="8" t="str">
        <x:v>Not stated</x:v>
      </x:c>
      <x:c r="F92" s="8" t="str">
        <x:v>role</x:v>
      </x:c>
      <x:c r="G92" s="8" t="str">
        <x:v>Current live page supports Abhijit Hanumant Ranjane — Managing Director. Readiness is recorded separately.</x:v>
      </x:c>
    </x:row>
    <x:row r="93" ht="95" customHeight="1">
      <x:c r="A93" s="3" t="str">
        <x:v>S126</x:v>
      </x:c>
      <x:c r="B93" s="3" t="str">
        <x:v>Uttrayan Financial Services Pvt. Ltd leadership evidence</x:v>
      </x:c>
      <x:c r="C93" s="3" t="str">
        <x:v>https://uttrayan-mfi.com/management-team/</x:v>
      </x:c>
      <x:c r="D93" s="3" t="str">
        <x:v>2026-10-03</x:v>
      </x:c>
      <x:c r="E93" s="3" t="str">
        <x:v>Not stated</x:v>
      </x:c>
      <x:c r="F93" s="3" t="str">
        <x:v>role</x:v>
      </x:c>
      <x:c r="G93" s="3" t="str">
        <x:v>Current live page supports Kartick Biswas — Managing Director. Readiness is recorded separately.</x:v>
      </x:c>
    </x:row>
    <x:row r="94" ht="95" customHeight="1">
      <x:c r="A94" s="8" t="str">
        <x:v>S127</x:v>
      </x:c>
      <x:c r="B94" s="8" t="str">
        <x:v>Uttrayan Financial Services Pvt. Ltd contact page</x:v>
      </x:c>
      <x:c r="C94" s="8" t="str">
        <x:v>https://uttrayan-mfi.com/contact-us/</x:v>
      </x:c>
      <x:c r="D94" s="8" t="str">
        <x:v>2026-10-03</x:v>
      </x:c>
      <x:c r="E94" s="8" t="str">
        <x:v>Not stated</x:v>
      </x:c>
      <x:c r="F94" s="8" t="str">
        <x:v>contact, company</x:v>
      </x:c>
      <x:c r="G94" s="8" t="str">
        <x:v>Official contact page is a generic routing option. No form was submitted.</x:v>
      </x:c>
    </x:row>
    <x:row r="95" ht="95" customHeight="1">
      <x:c r="A95" s="3" t="str">
        <x:v>S129</x:v>
      </x:c>
      <x:c r="B95" s="3" t="str">
        <x:v>Valar Aditi Social Finance Pvt. Ltd. leadership evidence</x:v>
      </x:c>
      <x:c r="C95" s="3" t="str">
        <x:v>https://valaraditi.in/board-of-directors/</x:v>
      </x:c>
      <x:c r="D95" s="3" t="str">
        <x:v>2026-10-03</x:v>
      </x:c>
      <x:c r="E95" s="3" t="str">
        <x:v>Not stated</x:v>
      </x:c>
      <x:c r="F95" s="3" t="str">
        <x:v>role</x:v>
      </x:c>
      <x:c r="G95" s="3" t="str">
        <x:v>Current live page supports I. Sebastian — Managing Director. Readiness is recorded separately.</x:v>
      </x:c>
    </x:row>
    <x:row r="96" ht="95" customHeight="1">
      <x:c r="A96" s="8" t="str">
        <x:v>S130</x:v>
      </x:c>
      <x:c r="B96" s="8" t="str">
        <x:v>Valar Aditi Social Finance Pvt. Ltd. public business contact</x:v>
      </x:c>
      <x:c r="C96" s="8" t="str">
        <x:v>https://valaraditi.in/contact-us/</x:v>
      </x:c>
      <x:c r="D96" s="8" t="str">
        <x:v>2026-10-03</x:v>
      </x:c>
      <x:c r="E96" s="8" t="str">
        <x:v>Not stated</x:v>
      </x:c>
      <x:c r="F96" s="8" t="str">
        <x:v>contact, company</x:v>
      </x:c>
      <x:c r="G96" s="8" t="str">
        <x:v>Company page publishes contact@valaraditi.in as a business routing inbox; it is not the named executive’s personal address.</x:v>
      </x:c>
    </x:row>
    <x:row r="97" ht="95" customHeight="1">
      <x:c r="A97" s="3" t="str">
        <x:v>S131</x:v>
      </x:c>
      <x:c r="B97" s="3" t="str">
        <x:v>Vanchinad Finance Private Limited leadership evidence</x:v>
      </x:c>
      <x:c r="C97" s="3" t="str">
        <x:v>https://vanchinad.com/index.php/board-of-directors/</x:v>
      </x:c>
      <x:c r="D97" s="3" t="str">
        <x:v>2026-10-03</x:v>
      </x:c>
      <x:c r="E97" s="3" t="str">
        <x:v>Not stated</x:v>
      </x:c>
      <x:c r="F97" s="3" t="str">
        <x:v>company, contact, role</x:v>
      </x:c>
      <x:c r="G97" s="3" t="str">
        <x:v>Current live page supports Griger Cherry Williams — Whole-time Director. Readiness is recorded separately.</x:v>
      </x:c>
    </x:row>
    <x:row r="98" ht="95" customHeight="1">
      <x:c r="A98" s="8" t="str">
        <x:v>S132</x:v>
      </x:c>
      <x:c r="B98" s="8" t="str">
        <x:v>Vector Finance Private Limited leadership evidence</x:v>
      </x:c>
      <x:c r="C98" s="8" t="str">
        <x:v>https://vectorfinance.in/board-member/</x:v>
      </x:c>
      <x:c r="D98" s="8" t="str">
        <x:v>2026-10-03</x:v>
      </x:c>
      <x:c r="E98" s="8" t="str">
        <x:v>Not stated</x:v>
      </x:c>
      <x:c r="F98" s="8" t="str">
        <x:v>role</x:v>
      </x:c>
      <x:c r="G98" s="8" t="str">
        <x:v>Current live page supports Prasanta K. Sahu — Chief Operating Officer. Readiness is recorded separately.</x:v>
      </x:c>
    </x:row>
    <x:row r="99" ht="95" customHeight="1">
      <x:c r="A99" s="3" t="str">
        <x:v>S133</x:v>
      </x:c>
      <x:c r="B99" s="3" t="str">
        <x:v>Vector Finance Private Limited contact page</x:v>
      </x:c>
      <x:c r="C99" s="3" t="str">
        <x:v>https://vectorfinance.in/investor-contact/</x:v>
      </x:c>
      <x:c r="D99" s="3" t="str">
        <x:v>2026-10-03</x:v>
      </x:c>
      <x:c r="E99" s="3" t="str">
        <x:v>Not stated</x:v>
      </x:c>
      <x:c r="F99" s="3" t="str">
        <x:v>contact, company</x:v>
      </x:c>
      <x:c r="G99" s="3" t="str">
        <x:v>Official contact page is a generic routing option. No form was submitted.</x:v>
      </x:c>
    </x:row>
    <x:row r="100" ht="95" customHeight="1">
      <x:c r="A100" s="8" t="str">
        <x:v>S134</x:v>
      </x:c>
      <x:c r="B100" s="8" t="str">
        <x:v>Vedika Credit Capital Ltd. leadership evidence</x:v>
      </x:c>
      <x:c r="C100" s="8" t="str">
        <x:v>https://teamvedika.com/</x:v>
      </x:c>
      <x:c r="D100" s="8" t="str">
        <x:v>2026-10-03</x:v>
      </x:c>
      <x:c r="E100" s="8" t="str">
        <x:v>Not stated</x:v>
      </x:c>
      <x:c r="F100" s="8" t="str">
        <x:v>role</x:v>
      </x:c>
      <x:c r="G100" s="8" t="str">
        <x:v>Current live page supports Gautam Jain — Managing Director. Readiness is recorded separately.</x:v>
      </x:c>
    </x:row>
    <x:row r="101" ht="95" customHeight="1">
      <x:c r="A101" s="3" t="str">
        <x:v>S135</x:v>
      </x:c>
      <x:c r="B101" s="3" t="str">
        <x:v>Velicham Finance Private Limited leadership evidence</x:v>
      </x:c>
      <x:c r="C101" s="3" t="str">
        <x:v>https://velichamfinance.com/about-us/</x:v>
      </x:c>
      <x:c r="D101" s="3" t="str">
        <x:v>2026-10-03</x:v>
      </x:c>
      <x:c r="E101" s="3" t="str">
        <x:v>Not stated</x:v>
      </x:c>
      <x:c r="F101" s="3" t="str">
        <x:v>role</x:v>
      </x:c>
      <x:c r="G101" s="3" t="str">
        <x:v>Current live page supports Nagarajan Muthukrishnan — Managing Director &amp; CEO. Readiness is recorded separately.</x:v>
      </x:c>
    </x:row>
    <x:row r="102" ht="95" customHeight="1">
      <x:c r="A102" s="8" t="str">
        <x:v>S136</x:v>
      </x:c>
      <x:c r="B102" s="8" t="str">
        <x:v>Velicham Finance Private Limited public business contact</x:v>
      </x:c>
      <x:c r="C102" s="8" t="str">
        <x:v>https://velichamfinance.com/contact-us/</x:v>
      </x:c>
      <x:c r="D102" s="8" t="str">
        <x:v>2026-10-03</x:v>
      </x:c>
      <x:c r="E102" s="8" t="str">
        <x:v>Not stated</x:v>
      </x:c>
      <x:c r="F102" s="8" t="str">
        <x:v>contact, company</x:v>
      </x:c>
      <x:c r="G102" s="8" t="str">
        <x:v>Company page publishes info@velichamfinance.com as a business routing inbox; it is not the named executive’s personal address.</x:v>
      </x:c>
    </x:row>
    <x:row r="103" ht="95" customHeight="1">
      <x:c r="A103" s="3" t="str">
        <x:v>S137</x:v>
      </x:c>
      <x:c r="B103" s="3" t="str">
        <x:v>VFS Capital Ltd leadership evidence</x:v>
      </x:c>
      <x:c r="C103" s="3" t="str">
        <x:v>https://www.vfscapital.in/governance/management-team/kuldip-maity</x:v>
      </x:c>
      <x:c r="D103" s="3" t="str">
        <x:v>2026-10-03</x:v>
      </x:c>
      <x:c r="E103" s="3" t="str">
        <x:v>Not stated</x:v>
      </x:c>
      <x:c r="F103" s="3" t="str">
        <x:v>role</x:v>
      </x:c>
      <x:c r="G103" s="3" t="str">
        <x:v>Current live page supports Kuldip Maity — Managing Director &amp; CEO. Readiness is recorded separately.</x:v>
      </x:c>
    </x:row>
    <x:row r="104" ht="95" customHeight="1">
      <x:c r="A104" s="8" t="str">
        <x:v>S138</x:v>
      </x:c>
      <x:c r="B104" s="8" t="str">
        <x:v>Virutcham Microfinance Ltd. (VML) leadership evidence</x:v>
      </x:c>
      <x:c r="C104" s="8" t="str">
        <x:v>https://virutcham.org/profile-of-directors-and-promoters/</x:v>
      </x:c>
      <x:c r="D104" s="8" t="str">
        <x:v>2026-10-03</x:v>
      </x:c>
      <x:c r="E104" s="8" t="str">
        <x:v>Not stated</x:v>
      </x:c>
      <x:c r="F104" s="8" t="str">
        <x:v>role</x:v>
      </x:c>
      <x:c r="G104" s="8" t="str">
        <x:v>Current live page supports S. Charles Selvaraj — Managing Director &amp; CEO. Readiness is recorded separately.</x:v>
      </x:c>
    </x:row>
    <x:row r="105" ht="95" customHeight="1">
      <x:c r="A105" s="3" t="str">
        <x:v>S139</x:v>
      </x:c>
      <x:c r="B105" s="3" t="str">
        <x:v>Virutcham Microfinance Ltd. (VML) public business contact</x:v>
      </x:c>
      <x:c r="C105" s="3" t="str">
        <x:v>https://virutcham.org/contact-2-2/</x:v>
      </x:c>
      <x:c r="D105" s="3" t="str">
        <x:v>2026-10-03</x:v>
      </x:c>
      <x:c r="E105" s="3" t="str">
        <x:v>Not stated</x:v>
      </x:c>
      <x:c r="F105" s="3" t="str">
        <x:v>contact, company</x:v>
      </x:c>
      <x:c r="G105" s="3" t="str">
        <x:v>Company page publishes info@virutcham.org as a business routing inbox; it is not the named executive’s personal address.</x:v>
      </x:c>
    </x:row>
    <x:row r="106" ht="95" customHeight="1">
      <x:c r="A106" s="8" t="str">
        <x:v>S142</x:v>
      </x:c>
      <x:c r="B106" s="8" t="str">
        <x:v>Wegrow Financial Services Private Limited leadership evidence</x:v>
      </x:c>
      <x:c r="C106" s="8" t="str">
        <x:v>https://www.wegrowindia.com/sr-management-team</x:v>
      </x:c>
      <x:c r="D106" s="8" t="str">
        <x:v>2026-10-03</x:v>
      </x:c>
      <x:c r="E106" s="8" t="str">
        <x:v>Not stated</x:v>
      </x:c>
      <x:c r="F106" s="8" t="str">
        <x:v>role</x:v>
      </x:c>
      <x:c r="G106" s="8" t="str">
        <x:v>Current live page supports Chitta Ranjan Barai — Director &amp; COO. Readiness is recorded separately.</x:v>
      </x:c>
    </x:row>
    <x:row r="107" ht="95" customHeight="1">
      <x:c r="A107" s="3" t="str">
        <x:v>S143</x:v>
      </x:c>
      <x:c r="B107" s="3" t="str">
        <x:v>Wegrow Financial Services Private Limited public business contact</x:v>
      </x:c>
      <x:c r="C107" s="3" t="str">
        <x:v>https://www.wegrowindia.com/contact-us</x:v>
      </x:c>
      <x:c r="D107" s="3" t="str">
        <x:v>2026-10-03</x:v>
      </x:c>
      <x:c r="E107" s="3" t="str">
        <x:v>Not stated</x:v>
      </x:c>
      <x:c r="F107" s="3" t="str">
        <x:v>contact, company</x:v>
      </x:c>
      <x:c r="G107" s="3" t="str">
        <x:v>Company page publishes info@wegrowindia.com as a business routing inbox; it is not the named executive’s personal address.</x:v>
      </x:c>
    </x:row>
    <x:row r="108" ht="95" customHeight="1">
      <x:c r="A108" s="8" t="str">
        <x:v>S145</x:v>
      </x:c>
      <x:c r="B108" s="8" t="str">
        <x:v>YVU Financial Service leadership evidence</x:v>
      </x:c>
      <x:c r="C108" s="8" t="str">
        <x:v>https://www.yvumf.com/about.php</x:v>
      </x:c>
      <x:c r="D108" s="8" t="str">
        <x:v>2026-10-03</x:v>
      </x:c>
      <x:c r="E108" s="8" t="str">
        <x:v>Not stated</x:v>
      </x:c>
      <x:c r="F108" s="8" t="str">
        <x:v>role</x:v>
      </x:c>
      <x:c r="G108" s="8" t="str">
        <x:v>Current live page supports Bikendrajit Akoijam — Managing Director. Readiness is recorded separately.</x:v>
      </x:c>
    </x:row>
    <x:row r="109" ht="95" customHeight="1">
      <x:c r="A109" s="3" t="str">
        <x:v>S146</x:v>
      </x:c>
      <x:c r="B109" s="3" t="str">
        <x:v>YVU Financial Service public business contact</x:v>
      </x:c>
      <x:c r="C109" s="3" t="str">
        <x:v>https://www.yvumf.com/contact.php</x:v>
      </x:c>
      <x:c r="D109" s="3" t="str">
        <x:v>2026-10-03</x:v>
      </x:c>
      <x:c r="E109" s="3" t="str">
        <x:v>Not stated</x:v>
      </x:c>
      <x:c r="F109" s="3" t="str">
        <x:v>contact, company</x:v>
      </x:c>
      <x:c r="G109" s="3" t="str">
        <x:v>Company page publishes contact@yvumf.com as a business routing inbox; it is not the named executive’s personal address.</x:v>
      </x:c>
    </x:row>
    <x:row r="110" ht="95" customHeight="1">
      <x:c r="A110" s="8" t="str">
        <x:v>S147</x:v>
      </x:c>
      <x:c r="B110" s="8" t="str">
        <x:v>CreditAccess Grameen Limited leadership</x:v>
      </x:c>
      <x:c r="C110" s="8" t="str">
        <x:v>https://www.creditaccessgrameen.in/governance/management-team/</x:v>
      </x:c>
      <x:c r="D110" s="8" t="str">
        <x:v>2026-10-03</x:v>
      </x:c>
      <x:c r="E110" s="8" t="str">
        <x:v>Not stated</x:v>
      </x:c>
      <x:c r="F110" s="8" t="str">
        <x:v>company, role</x:v>
      </x:c>
      <x:c r="G110" s="8" t="str">
        <x:v>Company leadership page identifies Ganesh Narayanan as Managing Director &amp; CEO.</x:v>
      </x:c>
    </x:row>
    <x:row r="111" ht="95" customHeight="1">
      <x:c r="A111" s="3" t="str">
        <x:v>S148</x:v>
      </x:c>
      <x:c r="B111" s="3" t="str">
        <x:v>Namra Finance Limited leadership</x:v>
      </x:c>
      <x:c r="C111" s="3" t="str">
        <x:v>https://www.namrafinance.com/management.aspx</x:v>
      </x:c>
      <x:c r="D111" s="3" t="str">
        <x:v>2026-10-03</x:v>
      </x:c>
      <x:c r="E111" s="3" t="str">
        <x:v>Not stated</x:v>
      </x:c>
      <x:c r="F111" s="3" t="str">
        <x:v>company, role, contact</x:v>
      </x:c>
      <x:c r="G111" s="3" t="str">
        <x:v>Company leadership page identifies Manoj Jha as Head IT Planning &amp; Strategy.</x:v>
      </x:c>
    </x:row>
    <x:row r="112" ht="95" customHeight="1">
      <x:c r="A112" s="8" t="str">
        <x:v>S149</x:v>
      </x:c>
      <x:c r="B112" s="8" t="str">
        <x:v>Kinara Capital leadership</x:v>
      </x:c>
      <x:c r="C112" s="8" t="str">
        <x:v>https://kinaracapital.com/teams/hardika-shah/</x:v>
      </x:c>
      <x:c r="D112" s="8" t="str">
        <x:v>2026-10-03</x:v>
      </x:c>
      <x:c r="E112" s="8" t="str">
        <x:v>Not stated</x:v>
      </x:c>
      <x:c r="F112" s="8" t="str">
        <x:v>company, role</x:v>
      </x:c>
      <x:c r="G112" s="8" t="str">
        <x:v>Company leadership page identifies Hardika Shah as Founder &amp; CEO.</x:v>
      </x:c>
    </x:row>
    <x:row r="113" ht="95" customHeight="1">
      <x:c r="A113" s="3" t="str">
        <x:v>S150</x:v>
      </x:c>
      <x:c r="B113" s="3" t="str">
        <x:v>UGRO Capital Limited leadership</x:v>
      </x:c>
      <x:c r="C113" s="3" t="str">
        <x:v>https://www.ugrocapital.com/about</x:v>
      </x:c>
      <x:c r="D113" s="3" t="str">
        <x:v>2026-10-03</x:v>
      </x:c>
      <x:c r="E113" s="3" t="str">
        <x:v>Not stated</x:v>
      </x:c>
      <x:c r="F113" s="3" t="str">
        <x:v>company, role</x:v>
      </x:c>
      <x:c r="G113" s="3" t="str">
        <x:v>Company leadership page identifies Anuj Pandey as Chief Executive Officer.</x:v>
      </x:c>
    </x:row>
    <x:row r="114" ht="95" customHeight="1">
      <x:c r="A114" s="8" t="str">
        <x:v>S151</x:v>
      </x:c>
      <x:c r="B114" s="8" t="str">
        <x:v>Fusion Finance Limited leadership</x:v>
      </x:c>
      <x:c r="C114" s="8" t="str">
        <x:v>https://fusionfin.com/management-team/</x:v>
      </x:c>
      <x:c r="D114" s="8" t="str">
        <x:v>2026-10-03</x:v>
      </x:c>
      <x:c r="E114" s="8" t="str">
        <x:v>Not stated</x:v>
      </x:c>
      <x:c r="F114" s="8" t="str">
        <x:v>company, role</x:v>
      </x:c>
      <x:c r="G114" s="8" t="str">
        <x:v>Company leadership page identifies Sunil Mundra as Chief Operating Officer – MFI.</x:v>
      </x:c>
    </x:row>
    <x:row r="115" ht="95" customHeight="1">
      <x:c r="A115" s="3" t="str">
        <x:v>S152</x:v>
      </x:c>
      <x:c r="B115" s="3" t="str">
        <x:v>Lendingkart leadership</x:v>
      </x:c>
      <x:c r="C115" s="3" t="str">
        <x:v>https://www.lendingkart.com/blog/management-team/prashant-prakash-joshi/</x:v>
      </x:c>
      <x:c r="D115" s="3" t="str">
        <x:v>2026-10-03</x:v>
      </x:c>
      <x:c r="E115" s="3" t="str">
        <x:v>Not stated</x:v>
      </x:c>
      <x:c r="F115" s="3" t="str">
        <x:v>company, role</x:v>
      </x:c>
      <x:c r="G115" s="3" t="str">
        <x:v>Company leadership page identifies Prashant Prakash Joshi as Managing Director &amp; CEO.</x:v>
      </x:c>
    </x:row>
    <x:row r="116" ht="95" customHeight="1">
      <x:c r="A116" s="8" t="str">
        <x:v>S153</x:v>
      </x:c>
      <x:c r="B116" s="8" t="str">
        <x:v>FlexiLoans / Epimoney Private Limited leadership</x:v>
      </x:c>
      <x:c r="C116" s="8" t="str">
        <x:v>https://flexiloans.com/loan/team</x:v>
      </x:c>
      <x:c r="D116" s="8" t="str">
        <x:v>2026-10-03</x:v>
      </x:c>
      <x:c r="E116" s="8" t="str">
        <x:v>Not stated</x:v>
      </x:c>
      <x:c r="F116" s="8" t="str">
        <x:v>company, role</x:v>
      </x:c>
      <x:c r="G116" s="8" t="str">
        <x:v>Company leadership page identifies Deepak Jain as CEO &amp; Co-Founder.</x:v>
      </x:c>
    </x:row>
    <x:row r="117" ht="95" customHeight="1">
      <x:c r="A117" s="3" t="str">
        <x:v>S154</x:v>
      </x:c>
      <x:c r="B117" s="3" t="str">
        <x:v>Clix Capital leadership</x:v>
      </x:c>
      <x:c r="C117" s="3" t="str">
        <x:v>https://www.clix.capital/about/</x:v>
      </x:c>
      <x:c r="D117" s="3" t="str">
        <x:v>2026-10-03</x:v>
      </x:c>
      <x:c r="E117" s="3" t="str">
        <x:v>Not stated</x:v>
      </x:c>
      <x:c r="F117" s="3" t="str">
        <x:v>company, role</x:v>
      </x:c>
      <x:c r="G117" s="3" t="str">
        <x:v>Company leadership page identifies Krishanu Ray as Chief Technology Officer.</x:v>
      </x:c>
    </x:row>
    <x:row r="118" ht="95" customHeight="1">
      <x:c r="A118" s="8" t="str">
        <x:v>S155</x:v>
      </x:c>
      <x:c r="B118" s="8" t="str">
        <x:v>Veritas Finance Limited leadership</x:v>
      </x:c>
      <x:c r="C118" s="8" t="str">
        <x:v>https://www.veritasfin.in/teamveritas.php</x:v>
      </x:c>
      <x:c r="D118" s="8" t="str">
        <x:v>2026-10-03</x:v>
      </x:c>
      <x:c r="E118" s="8" t="str">
        <x:v>Not stated</x:v>
      </x:c>
      <x:c r="F118" s="8" t="str">
        <x:v>company, role</x:v>
      </x:c>
      <x:c r="G118" s="8" t="str">
        <x:v>Company leadership page identifies D. Arulmany as Founder, Managing Director &amp; CEO.</x:v>
      </x:c>
    </x:row>
    <x:row r="119" ht="95" customHeight="1">
      <x:c r="A119" s="3" t="str">
        <x:v>S156</x:v>
      </x:c>
      <x:c r="B119" s="3" t="str">
        <x:v>Jana Small Finance Bank Limited leadership</x:v>
      </x:c>
      <x:c r="C119" s="3" t="str">
        <x:v>https://www.jana.bank.in/about-us/leadership-governance/management-team/</x:v>
      </x:c>
      <x:c r="D119" s="3" t="str">
        <x:v>2026-10-03</x:v>
      </x:c>
      <x:c r="E119" s="3" t="str">
        <x:v>Not stated</x:v>
      </x:c>
      <x:c r="F119" s="3" t="str">
        <x:v>company, role</x:v>
      </x:c>
      <x:c r="G119" s="3" t="str">
        <x:v>Company leadership page identifies Ashish Gopal Saxena as Chief Information &amp; Digital Officer.</x:v>
      </x:c>
    </x:row>
    <x:row r="120" ht="95" customHeight="1">
      <x:c r="A120" s="8" t="str">
        <x:v>S157</x:v>
      </x:c>
      <x:c r="B120" s="8" t="str">
        <x:v>Five-Star Business Finance Limited leadership</x:v>
      </x:c>
      <x:c r="C120" s="8" t="str">
        <x:v>https://fivestargroup.in/management-team/</x:v>
      </x:c>
      <x:c r="D120" s="8" t="str">
        <x:v>2026-10-03</x:v>
      </x:c>
      <x:c r="E120" s="8" t="str">
        <x:v>Not stated</x:v>
      </x:c>
      <x:c r="F120" s="8" t="str">
        <x:v>company, role</x:v>
      </x:c>
      <x:c r="G120" s="8" t="str">
        <x:v>Company leadership page identifies Lakshmipathy Deenadayalan as Chairman &amp; Managing Director.</x:v>
      </x:c>
    </x:row>
    <x:row r="121" ht="95" customHeight="1">
      <x:c r="A121" s="3" t="str">
        <x:v>S158</x:v>
      </x:c>
      <x:c r="B121" s="3" t="str">
        <x:v>Aptus Value Housing Finance India Limited leadership</x:v>
      </x:c>
      <x:c r="C121" s="3" t="str">
        <x:v>https://www.aptusindia.com/management-team/</x:v>
      </x:c>
      <x:c r="D121" s="3" t="str">
        <x:v>2026-10-03</x:v>
      </x:c>
      <x:c r="E121" s="3" t="str">
        <x:v>Not stated</x:v>
      </x:c>
      <x:c r="F121" s="3" t="str">
        <x:v>company, role</x:v>
      </x:c>
      <x:c r="G121" s="3" t="str">
        <x:v>Company leadership page identifies Balaji P as Managing Director.</x:v>
      </x:c>
    </x:row>
    <x:row r="122" ht="95" customHeight="1">
      <x:c r="A122" s="8" t="str">
        <x:v>S159</x:v>
      </x:c>
      <x:c r="B122" s="8" t="str">
        <x:v>Aavas Financiers Limited leadership</x:v>
      </x:c>
      <x:c r="C122" s="8" t="str">
        <x:v>https://www.aavas.in/our-leadership</x:v>
      </x:c>
      <x:c r="D122" s="8" t="str">
        <x:v>2026-10-03</x:v>
      </x:c>
      <x:c r="E122" s="8" t="str">
        <x:v>Not stated</x:v>
      </x:c>
      <x:c r="F122" s="8" t="str">
        <x:v>company, role</x:v>
      </x:c>
      <x:c r="G122" s="8" t="str">
        <x:v>Company leadership page identifies Jijy Oommen as Chief Technology Officer.</x:v>
      </x:c>
    </x:row>
    <x:row r="123" ht="95" customHeight="1">
      <x:c r="A123" s="3" t="str">
        <x:v>S160</x:v>
      </x:c>
      <x:c r="B123" s="3" t="str">
        <x:v>Cholamandalam Investment and Finance Company Limited leadership</x:v>
      </x:c>
      <x:c r="C123" s="3" t="str">
        <x:v>https://www.cholamandalam.com/about-us/board-directors</x:v>
      </x:c>
      <x:c r="D123" s="3" t="str">
        <x:v>2026-10-03</x:v>
      </x:c>
      <x:c r="E123" s="3" t="str">
        <x:v>Not stated</x:v>
      </x:c>
      <x:c r="F123" s="3" t="str">
        <x:v>company, role</x:v>
      </x:c>
      <x:c r="G123" s="3" t="str">
        <x:v>Company leadership page identifies Ravindra Kumar Kundu as Managing Director.</x:v>
      </x:c>
    </x:row>
    <x:row r="124" ht="95" customHeight="1">
      <x:c r="A124" s="8" t="str">
        <x:v>S161</x:v>
      </x:c>
      <x:c r="B124" s="8" t="str">
        <x:v>GU Financial Services (P) Ltd. operating context</x:v>
      </x:c>
      <x:c r="C124" s="8" t="str">
        <x:v>https://www.gufinance.com/</x:v>
      </x:c>
      <x:c r="D124" s="8" t="str">
        <x:v>2026-10-03</x:v>
      </x:c>
      <x:c r="E124" s="8" t="str">
        <x:v>Not stated</x:v>
      </x:c>
      <x:c r="F124" s="8" t="str">
        <x:v>company</x:v>
      </x:c>
      <x:c r="G124" s="8" t="str">
        <x:v>GU lists WASH and microenterprise loan products.</x:v>
      </x:c>
    </x:row>
    <x:row r="125" ht="95" customHeight="1">
      <x:c r="A125" s="3" t="str">
        <x:v>S162</x:v>
      </x:c>
      <x:c r="B125" s="3" t="str">
        <x:v>IDF Financial Services Private Ltd. operating context</x:v>
      </x:c>
      <x:c r="C125" s="3" t="str">
        <x:v>https://www.idf-finance.in/</x:v>
      </x:c>
      <x:c r="D125" s="3" t="str">
        <x:v>2026-10-03</x:v>
      </x:c>
      <x:c r="E125" s="3" t="str">
        <x:v>Not stated</x:v>
      </x:c>
      <x:c r="F125" s="3" t="str">
        <x:v>company</x:v>
      </x:c>
      <x:c r="G125" s="3" t="str">
        <x:v>IDF lists mSHG lending on its website.</x:v>
      </x:c>
    </x:row>
    <x:row r="126" ht="95" customHeight="1">
      <x:c r="A126" s="8" t="str">
        <x:v>S163</x:v>
      </x:c>
      <x:c r="B126" s="8" t="str">
        <x:v>Mitrata Inclusive Financial Services Ltd. operating context</x:v>
      </x:c>
      <x:c r="C126" s="8" t="str">
        <x:v>https://mitrata.in/products-and-services/</x:v>
      </x:c>
      <x:c r="D126" s="8" t="str">
        <x:v>2026-10-03</x:v>
      </x:c>
      <x:c r="E126" s="8" t="str">
        <x:v>Not stated</x:v>
      </x:c>
      <x:c r="F126" s="8" t="str">
        <x:v>company</x:v>
      </x:c>
      <x:c r="G126" s="8" t="str">
        <x:v>Mitrata lists JLG, WASH and secured MSME loan products.</x:v>
      </x:c>
    </x:row>
  </x:sheetData>
  <x:mergeCells>
    <x:mergeCell ref="A2:G2"/>
    <x:mergeCell ref="A3:G3"/>
  </x:mergeCells>
  <x:pageMargins left="0.7" right="0.7" top="0.75" bottom="0.75" header="0.3" footer="0.3"/>
  <x:tableParts count="1">
    <x:tablePart xmlns:r="http://schemas.openxmlformats.org/officeDocument/2006/relationships" r:id="Rdaeb14b71a884015"/>
  </x:tableParts>
</x:worksheet>
</file>